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20" yWindow="-120" windowWidth="19420" windowHeight="11020" firstSheet="1" activeTab="6"/>
  </bookViews>
  <sheets>
    <sheet name="Dataset" sheetId="2" r:id="rId1"/>
    <sheet name="Country Performance" sheetId="4" r:id="rId2"/>
    <sheet name="Product Sales" sheetId="6" r:id="rId3"/>
    <sheet name="Sales Trend" sheetId="7" r:id="rId4"/>
    <sheet name="Top &amp; Bottom Poducts" sheetId="13" r:id="rId5"/>
    <sheet name="Sales Summary" sheetId="15" r:id="rId6"/>
    <sheet name="Dashboard" sheetId="18" r:id="rId7"/>
  </sheets>
  <definedNames>
    <definedName name="_xlcn.WorksheetConnection_EXCELPROJECT.xlsxSheet1" hidden="1">Sheet1[]</definedName>
    <definedName name="ExternalData_1" localSheetId="0" hidden="1">Dataset!$A$1:$Q$193</definedName>
  </definedNames>
  <calcPr calcId="191028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EXCEL PROJECT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3" l="1"/>
  <c r="F147" i="13"/>
  <c r="E146" i="13"/>
  <c r="F146" i="13"/>
  <c r="R14" i="2"/>
  <c r="R2" i="2"/>
  <c r="V196" i="2" s="1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</calcChain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CEL PROJECT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EXCELPROJECT.xlsxSheet1"/>
        </x15:connection>
      </ext>
    </extLst>
  </connection>
</connections>
</file>

<file path=xl/sharedStrings.xml><?xml version="1.0" encoding="utf-8"?>
<sst xmlns="http://schemas.openxmlformats.org/spreadsheetml/2006/main" count="2513" uniqueCount="608">
  <si>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</si>
  <si>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</si>
  <si>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</si>
  <si>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</si>
  <si>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</si>
  <si>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</si>
  <si>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</si>
  <si>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</si>
  <si>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</si>
  <si>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</si>
  <si>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</si>
  <si>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</si>
  <si>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Month</t>
  </si>
  <si>
    <t>Year</t>
  </si>
  <si>
    <t>Name of Sales Rep</t>
  </si>
  <si>
    <t>Manager</t>
  </si>
  <si>
    <t>Sales Team</t>
  </si>
  <si>
    <t>Sales Revenue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</si>
  <si>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</si>
  <si>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</si>
  <si>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</si>
  <si>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</si>
  <si>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</si>
  <si>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</si>
  <si>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</si>
  <si>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</si>
  <si>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</si>
  <si>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</si>
  <si>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</si>
  <si>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</si>
  <si>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</si>
  <si>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</si>
  <si>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</si>
  <si>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</si>
  <si>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</si>
  <si>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</si>
  <si>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</si>
  <si>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</si>
  <si>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</si>
  <si>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</si>
  <si>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</si>
  <si>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</si>
  <si>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</si>
  <si>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</si>
  <si>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</si>
  <si>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Czeladź</t>
  </si>
  <si>
    <t>Lioletine Refliruvax</t>
  </si>
  <si>
    <t>Analgesics</t>
  </si>
  <si>
    <t>Keeling LLC Pharmacy</t>
  </si>
  <si>
    <t>Olsztyn</t>
  </si>
  <si>
    <t>Oxymotroban Fexoformin</t>
  </si>
  <si>
    <t>Feb</t>
  </si>
  <si>
    <t>Anne Wu</t>
  </si>
  <si>
    <t>Runte-Marquardt Pharmaceutical Ltd</t>
  </si>
  <si>
    <t>Olecko</t>
  </si>
  <si>
    <t>Pazofenac</t>
  </si>
  <si>
    <t>Sep</t>
  </si>
  <si>
    <t>Thompson Crawford</t>
  </si>
  <si>
    <t>James Goodwill</t>
  </si>
  <si>
    <t>Alfa</t>
  </si>
  <si>
    <t xml:space="preserve">Blick, Pacocha and Schowalter </t>
  </si>
  <si>
    <t>Inowrocław</t>
  </si>
  <si>
    <t>Symbitrim</t>
  </si>
  <si>
    <t>Sheila Stones</t>
  </si>
  <si>
    <t>Leuschke PLC Pharmacy</t>
  </si>
  <si>
    <t>Ciechanów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</si>
  <si>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</si>
  <si>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</si>
  <si>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</si>
  <si>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</si>
  <si>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</si>
  <si>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</si>
  <si>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</si>
  <si>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</si>
  <si>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Kraków</t>
  </si>
  <si>
    <t>Ampysin</t>
  </si>
  <si>
    <t>Morris Garcia</t>
  </si>
  <si>
    <t>Wolff Group Pharm</t>
  </si>
  <si>
    <t>Gubin</t>
  </si>
  <si>
    <t>Government</t>
  </si>
  <si>
    <t>Trazobalamin</t>
  </si>
  <si>
    <t>Mar</t>
  </si>
  <si>
    <t>Erica Jones</t>
  </si>
  <si>
    <t>Denesik, Walter and Beatty Pharma Plc</t>
  </si>
  <si>
    <t>Ostrów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</si>
  <si>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</si>
  <si>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</si>
  <si>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</si>
  <si>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</si>
  <si>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</si>
  <si>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</si>
  <si>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</t>
  </si>
  <si>
    <t>McClure, Zemlak and Dibbert Pharma Plc</t>
  </si>
  <si>
    <t>Gdańsk</t>
  </si>
  <si>
    <t>Afinitasol</t>
  </si>
  <si>
    <t>Antipiretics</t>
  </si>
  <si>
    <t>Block-Romaguera Pharmaceutical Limited</t>
  </si>
  <si>
    <t>Tarnowskie Góry</t>
  </si>
  <si>
    <t>Amavirase</t>
  </si>
  <si>
    <t>Hahn, Rutherford and Gislason Pharmaceutical Limited</t>
  </si>
  <si>
    <t>Åaziska Górne</t>
  </si>
  <si>
    <t>Neuropogen Empibax</t>
  </si>
  <si>
    <t xml:space="preserve">D'Amore and Sons </t>
  </si>
  <si>
    <t>Wągrowiec</t>
  </si>
  <si>
    <t>Tracdomide</t>
  </si>
  <si>
    <t>Daniel Gates</t>
  </si>
  <si>
    <t>Koss Ltd Pharmaceutical Limited</t>
  </si>
  <si>
    <t>Lwówek Åšląski</t>
  </si>
  <si>
    <t>Novakyn Tracprox</t>
  </si>
  <si>
    <t xml:space="preserve">Fadel-West </t>
  </si>
  <si>
    <t>Złotoryja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</si>
  <si>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</si>
  <si>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</si>
  <si>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</si>
  <si>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</si>
  <si>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</si>
  <si>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</si>
  <si>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Biłgoraj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</si>
  <si>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</si>
  <si>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</si>
  <si>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</si>
  <si>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</si>
  <si>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</si>
  <si>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</si>
  <si>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Bolesławiec</t>
  </si>
  <si>
    <t>Saprodeine Zanprosyn</t>
  </si>
  <si>
    <t>Schaden-Hirthe Pharmaceutical Ltd</t>
  </si>
  <si>
    <t>Åšwidnica</t>
  </si>
  <si>
    <t>Magnemunex</t>
  </si>
  <si>
    <t>Mraz Group Pharmacy</t>
  </si>
  <si>
    <t>Piastów</t>
  </si>
  <si>
    <t>Nader-Gaylord Pharmaceutical Ltd</t>
  </si>
  <si>
    <t>Åódź</t>
  </si>
  <si>
    <t>Pitodomide</t>
  </si>
  <si>
    <t>Antimalarial</t>
  </si>
  <si>
    <t>Heidenreich Group Pharmaceutical Ltd</t>
  </si>
  <si>
    <t>Rzeszów</t>
  </si>
  <si>
    <t>Malaxolol Aeroprosyn</t>
  </si>
  <si>
    <t>Mante-Grady Pharm</t>
  </si>
  <si>
    <t>Lubaczów</t>
  </si>
  <si>
    <t>Tetratanyl</t>
  </si>
  <si>
    <t>Feest-Kshlerin Pharmaceutical Ltd</t>
  </si>
  <si>
    <t>Åšwidnik</t>
  </si>
  <si>
    <t>Spiroderall</t>
  </si>
  <si>
    <t>Jul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</si>
  <si>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</si>
  <si>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</si>
  <si>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</si>
  <si>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</si>
  <si>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</si>
  <si>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</si>
  <si>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</si>
  <si>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</si>
  <si>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</si>
  <si>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Brwinów</t>
  </si>
  <si>
    <t>Comzyme</t>
  </si>
  <si>
    <t>Heathcote, Grant and Witting Pharm</t>
  </si>
  <si>
    <t>Bielsko-Biała</t>
  </si>
  <si>
    <t>Aldevac</t>
  </si>
  <si>
    <t>Boyer and Sons Pharmaceutical Limited</t>
  </si>
  <si>
    <t>Wałcz</t>
  </si>
  <si>
    <t>Invisteride Diclomycin</t>
  </si>
  <si>
    <t>Rowe PLC Pharmaceutical Ltd</t>
  </si>
  <si>
    <t>Kęty</t>
  </si>
  <si>
    <t>Ergomethate</t>
  </si>
  <si>
    <t>McCullough LLC Pharma Plc</t>
  </si>
  <si>
    <t>Częstochowa</t>
  </si>
  <si>
    <t>Theopril</t>
  </si>
  <si>
    <t>Grimes, Jacobs and Durgan Pharm</t>
  </si>
  <si>
    <t>Bełchatów</t>
  </si>
  <si>
    <t>Balistreri, Torp and Gulgowski Pharmacy</t>
  </si>
  <si>
    <t>Chełmża</t>
  </si>
  <si>
    <t>Ketastadil</t>
  </si>
  <si>
    <t>Will and Sons Pharmaceutical Limited</t>
  </si>
  <si>
    <t>Poznań</t>
  </si>
  <si>
    <t>Methiclotide</t>
  </si>
  <si>
    <t>Apr</t>
  </si>
  <si>
    <t>Osinski-Collins Pharmaceutical Ltd</t>
  </si>
  <si>
    <t>Elbląg</t>
  </si>
  <si>
    <t>Parisian, Hagenes and Skiles Pharma Plc</t>
  </si>
  <si>
    <t>Ciechocinek</t>
  </si>
  <si>
    <t>Propratecan</t>
  </si>
  <si>
    <t>Schmitt, Berge and Haley Pharma Plc</t>
  </si>
  <si>
    <t>Kłodzko</t>
  </si>
  <si>
    <t>Afaxacin</t>
  </si>
  <si>
    <t>Funk, Ratke and Heaney Pharmacy</t>
  </si>
  <si>
    <t>Prabuty</t>
  </si>
  <si>
    <t>Testant</t>
  </si>
  <si>
    <t>Walsh-Brown Pharmacy</t>
  </si>
  <si>
    <t>Chorzów</t>
  </si>
  <si>
    <t>Temasone Thiobucil</t>
  </si>
  <si>
    <t>Schowalter, Runolfsson and VonRueden Pharmaceutical Ltd</t>
  </si>
  <si>
    <t>Grudziądz</t>
  </si>
  <si>
    <t>Propralamide Dexlanzolam</t>
  </si>
  <si>
    <t>Beahan, Littel and Ondricka Pharmacy</t>
  </si>
  <si>
    <t>Åęczyca</t>
  </si>
  <si>
    <t>Abobozolid</t>
  </si>
  <si>
    <t>Veum-Kerluke Pharmacy</t>
  </si>
  <si>
    <t>Człuchów</t>
  </si>
  <si>
    <t>Choriogestrel</t>
  </si>
  <si>
    <t>Doyle-Tillman Pharmaceutical Ltd</t>
  </si>
  <si>
    <t>Dęblin</t>
  </si>
  <si>
    <t>Ondricka Ltd Pharmacy</t>
  </si>
  <si>
    <t>Åšwinoujście</t>
  </si>
  <si>
    <t>Epzipitant</t>
  </si>
  <si>
    <t>Raynor-Graham Pharmaceutical Limited</t>
  </si>
  <si>
    <t>Gorzów Wielkopolski</t>
  </si>
  <si>
    <t xml:space="preserve">Koss-Beier </t>
  </si>
  <si>
    <t>Nakło nad Notecią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</si>
  <si>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</si>
  <si>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</si>
  <si>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</si>
  <si>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</si>
  <si>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</si>
  <si>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</si>
  <si>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</si>
  <si>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</si>
  <si>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</si>
  <si>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Kiovax Tercorolac</t>
  </si>
  <si>
    <t>Marquardt-Ryan Pharmaceutical Ltd</t>
  </si>
  <si>
    <t>Węgorzewo</t>
  </si>
  <si>
    <t>Biotasol Siloderm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</si>
  <si>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</si>
  <si>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</si>
  <si>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</si>
  <si>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</si>
  <si>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</si>
  <si>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</si>
  <si>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</si>
  <si>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</si>
  <si>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Buckridge, Dach and Carroll Pharmaceutical Limited</t>
  </si>
  <si>
    <t>Luboń</t>
  </si>
  <si>
    <t>May</t>
  </si>
  <si>
    <t>Yundt, Leuschke and Ward Pharmaceutical Ltd</t>
  </si>
  <si>
    <t>Åychlin</t>
  </si>
  <si>
    <t>Penitrana</t>
  </si>
  <si>
    <t xml:space="preserve">Rohan Inc </t>
  </si>
  <si>
    <t>Chojnów</t>
  </si>
  <si>
    <t>Benzoprox</t>
  </si>
  <si>
    <t>Wintheiser, Breitenberg and Gottlieb Pharmaceutical Limited</t>
  </si>
  <si>
    <t>Milanówek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</si>
  <si>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</si>
  <si>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</si>
  <si>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</si>
  <si>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</si>
  <si>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</si>
  <si>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</si>
  <si>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</si>
  <si>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</si>
  <si>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Białystok</t>
  </si>
  <si>
    <t>Zithrotrol</t>
  </si>
  <si>
    <t>Hills, Stroman and Ernser Pharm</t>
  </si>
  <si>
    <t>Pułtusk</t>
  </si>
  <si>
    <t>Lansostral Acgestin</t>
  </si>
  <si>
    <t>Schinner, Gaylord and Treutel Pharmaceutical Ltd</t>
  </si>
  <si>
    <t>Dąbrowa Górnicza</t>
  </si>
  <si>
    <t>Graham and Sons Pharmacy</t>
  </si>
  <si>
    <t>Warka</t>
  </si>
  <si>
    <t>Amamadin</t>
  </si>
  <si>
    <t>Stehr-Champlin Pharmaceutical Limited</t>
  </si>
  <si>
    <t>Nowe Miasto Lubawskie</t>
  </si>
  <si>
    <t>Mann-Waelchi Pharm</t>
  </si>
  <si>
    <t>Piotrków Trybunalski</t>
  </si>
  <si>
    <t>Germany</t>
  </si>
  <si>
    <t>Travosoline Capolac</t>
  </si>
  <si>
    <t>Haley PLC Pharmaceutical Limited</t>
  </si>
  <si>
    <t>Opole</t>
  </si>
  <si>
    <t>Adalatamine</t>
  </si>
  <si>
    <t>Denesik-Hintz Pharm</t>
  </si>
  <si>
    <t>Międzyrzec Podlaski</t>
  </si>
  <si>
    <t xml:space="preserve">Rosenbaum, Klein and Herzog </t>
  </si>
  <si>
    <t>Zbąszyń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</si>
  <si>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</si>
  <si>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</si>
  <si>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</si>
  <si>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</si>
  <si>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</si>
  <si>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</si>
  <si>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</si>
  <si>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</si>
  <si>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</si>
  <si>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</si>
  <si>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</si>
  <si>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</si>
  <si>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Chełmno</t>
  </si>
  <si>
    <t>Purdy Ltd Pharmaceutical Limited</t>
  </si>
  <si>
    <t>Głuchołazy</t>
  </si>
  <si>
    <t>Diprotaine</t>
  </si>
  <si>
    <t>Balistreri-Watsica Pharmacy</t>
  </si>
  <si>
    <t>Ełk</t>
  </si>
  <si>
    <t>Ciclonazol</t>
  </si>
  <si>
    <t xml:space="preserve">Herman, Rice and Rippin </t>
  </si>
  <si>
    <t>Ziębice</t>
  </si>
  <si>
    <t>Amphesirox</t>
  </si>
  <si>
    <t>Kertzmann-Ward Pharma Plc</t>
  </si>
  <si>
    <t>Opoczno</t>
  </si>
  <si>
    <t>Sucprine Specbalamin</t>
  </si>
  <si>
    <t>Streich PLC Pharmaceutical Limited</t>
  </si>
  <si>
    <t>Przemyśl</t>
  </si>
  <si>
    <t>Clinolan Pitoletra</t>
  </si>
  <si>
    <t>Upton, Abernathy and Goodwin Pharmaceutical Ltd</t>
  </si>
  <si>
    <t>Jarosław</t>
  </si>
  <si>
    <t>Symbiroban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</si>
  <si>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</si>
  <si>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</si>
  <si>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</si>
  <si>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</si>
  <si>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</si>
  <si>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</si>
  <si>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</si>
  <si>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Darłowo</t>
  </si>
  <si>
    <t>Kinenadryl</t>
  </si>
  <si>
    <t>Lesch PLC Pharmacy</t>
  </si>
  <si>
    <t>Wrocław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</si>
  <si>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</si>
  <si>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</si>
  <si>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</si>
  <si>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</si>
  <si>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</si>
  <si>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</si>
  <si>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</si>
  <si>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</si>
  <si>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Bytów</t>
  </si>
  <si>
    <t>Adtiza Gammaluble</t>
  </si>
  <si>
    <t>Buckridge, Hand and Hyatt Pharma Plc</t>
  </si>
  <si>
    <t>Zgorzelec</t>
  </si>
  <si>
    <t>Hansen Group Pharm</t>
  </si>
  <si>
    <t>Gryfów Åšląski</t>
  </si>
  <si>
    <t>Xenaderal</t>
  </si>
  <si>
    <t>Oct</t>
  </si>
  <si>
    <t>Beier PLC Pharmacy</t>
  </si>
  <si>
    <t>Włocławek</t>
  </si>
  <si>
    <t>Ranediol</t>
  </si>
  <si>
    <t>Paucek, Keeling and Bruen Pharm</t>
  </si>
  <si>
    <t>Åęczna</t>
  </si>
  <si>
    <t xml:space="preserve">Schaefer-Rolfson </t>
  </si>
  <si>
    <t>Niepołomice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</si>
  <si>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</si>
  <si>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</si>
  <si>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</si>
  <si>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</si>
  <si>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</si>
  <si>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</si>
  <si>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Kościan</t>
  </si>
  <si>
    <t xml:space="preserve">Wunsch, Mills and Walter </t>
  </si>
  <si>
    <t>Kielce</t>
  </si>
  <si>
    <t>Ampinonide</t>
  </si>
  <si>
    <t xml:space="preserve">Crist Inc </t>
  </si>
  <si>
    <t>Stary Sącz</t>
  </si>
  <si>
    <t>Magneprex</t>
  </si>
  <si>
    <t xml:space="preserve">Sanford, Franecki and Greenholt </t>
  </si>
  <si>
    <t>Nowa Sól</t>
  </si>
  <si>
    <t>Abranatal Lysoprosate</t>
  </si>
  <si>
    <t>Steuber Ltd Pharmacy</t>
  </si>
  <si>
    <t>Ostrołęka</t>
  </si>
  <si>
    <t>Prohaska-Kuhic Pharmacy</t>
  </si>
  <si>
    <t>Wisła</t>
  </si>
  <si>
    <t>Zarostral</t>
  </si>
  <si>
    <t>Hermiston and Sons Pharma Plc</t>
  </si>
  <si>
    <t>Bochnia</t>
  </si>
  <si>
    <t xml:space="preserve">Monahan Ltd </t>
  </si>
  <si>
    <t>Oświęcim</t>
  </si>
  <si>
    <t>Trazozaprine</t>
  </si>
  <si>
    <t>Steuber, Skiles and Kilback Pharma Plc</t>
  </si>
  <si>
    <t>Sosnowiec</t>
  </si>
  <si>
    <t>Funk PLC Pharmaceutical Limited</t>
  </si>
  <si>
    <t>Mikołów</t>
  </si>
  <si>
    <t>Proderal</t>
  </si>
  <si>
    <t>Spencer-Jerde Pharmacy</t>
  </si>
  <si>
    <t>Przeworsk</t>
  </si>
  <si>
    <t>Imiformin Transmunex</t>
  </si>
  <si>
    <t>Moore PLC Pharmaceutical Ltd</t>
  </si>
  <si>
    <t>Åomża</t>
  </si>
  <si>
    <t>Hepavice</t>
  </si>
  <si>
    <t>Torp-Fisher Pharma Plc</t>
  </si>
  <si>
    <t>Gorlice</t>
  </si>
  <si>
    <t>Thionide</t>
  </si>
  <si>
    <t>Botsford and Sons Pharmaceutical Ltd</t>
  </si>
  <si>
    <t>Kołobrzeg</t>
  </si>
  <si>
    <t>Requimadin</t>
  </si>
  <si>
    <t>Crona Group Pharma Plc</t>
  </si>
  <si>
    <t>Kwidzyn</t>
  </si>
  <si>
    <t>Decidenu Galantrigine</t>
  </si>
  <si>
    <t>Mills Inc Pharma Plc</t>
  </si>
  <si>
    <t>Bydgoszcz</t>
  </si>
  <si>
    <t>Herman-Koss Pharm</t>
  </si>
  <si>
    <t>Lubsko</t>
  </si>
  <si>
    <t>Kling Inc Pharmaceutical Ltd</t>
  </si>
  <si>
    <t>Ostrowiec Åšwiętokrzyski</t>
  </si>
  <si>
    <t>Alglutriptan</t>
  </si>
  <si>
    <t>Bernier, Murphy and Rau Pharmaceutical Ltd</t>
  </si>
  <si>
    <t>Ruda Åšląska</t>
  </si>
  <si>
    <t>Ceretosine</t>
  </si>
  <si>
    <t>Gleichner, Bahringer and Morar Pharma Plc</t>
  </si>
  <si>
    <t>Gostynin</t>
  </si>
  <si>
    <t>Alisteride Pemidizem</t>
  </si>
  <si>
    <t>Erdman PLC Pharmacy</t>
  </si>
  <si>
    <t>Ozimek</t>
  </si>
  <si>
    <t>Algluconium Dorzofoxin</t>
  </si>
  <si>
    <t>Yundt-Crona Pharmaceutical Ltd</t>
  </si>
  <si>
    <t>Siemiatycze</t>
  </si>
  <si>
    <t xml:space="preserve">Okuneva-Corkery </t>
  </si>
  <si>
    <t>Kostrzyn nad Odrą</t>
  </si>
  <si>
    <t>Gottlieb-Cruickshank Pharma Plc</t>
  </si>
  <si>
    <t>Brzeszcze</t>
  </si>
  <si>
    <t>Lacoplex Hyaluvance</t>
  </si>
  <si>
    <t>Hansen, Fadel and Schroeder Pharm</t>
  </si>
  <si>
    <t>Gniezno</t>
  </si>
  <si>
    <t>Interfeferon Aspipex</t>
  </si>
  <si>
    <t>Schaefer Group Pharmaceutical Limited</t>
  </si>
  <si>
    <t>Ustroń</t>
  </si>
  <si>
    <t>Tacrodomide</t>
  </si>
  <si>
    <t>Senger-Kirlin Pharmacy</t>
  </si>
  <si>
    <t>Kobyłka</t>
  </si>
  <si>
    <t>Eproline</t>
  </si>
  <si>
    <t>Leffler-Russel Pharm</t>
  </si>
  <si>
    <t>Konstancin-Jeziorna</t>
  </si>
  <si>
    <t>Nader-Gaylord Pharmaceutical Limited</t>
  </si>
  <si>
    <t>Sobótka</t>
  </si>
  <si>
    <t>Adrecetam Barazoxane</t>
  </si>
  <si>
    <t xml:space="preserve">Heller-Abernathy </t>
  </si>
  <si>
    <t>Brzeg Dolny</t>
  </si>
  <si>
    <t>Stelazolid</t>
  </si>
  <si>
    <t xml:space="preserve">Rutherford and Sons </t>
  </si>
  <si>
    <t>Gdynia</t>
  </si>
  <si>
    <t xml:space="preserve">Lockman Ltd </t>
  </si>
  <si>
    <t>Połaniec</t>
  </si>
  <si>
    <t>Jun</t>
  </si>
  <si>
    <t>Rogahn-Klein Pharmacy</t>
  </si>
  <si>
    <t>Koronowo</t>
  </si>
  <si>
    <t>Diprolimus</t>
  </si>
  <si>
    <t>Crist, Wisoky and Nolan Pharmaceutical Ltd</t>
  </si>
  <si>
    <t>Toruń</t>
  </si>
  <si>
    <t>Aclonuma</t>
  </si>
  <si>
    <t>Kshlerin, Ryan and Leuschke Pharma Plc</t>
  </si>
  <si>
    <t>Zielona Góra</t>
  </si>
  <si>
    <t>Claricriptine Adaferol</t>
  </si>
  <si>
    <t>Cormier, Dietrich and Zulauf Pharma Plc</t>
  </si>
  <si>
    <t>Puławy</t>
  </si>
  <si>
    <t>Nov</t>
  </si>
  <si>
    <t>Crona PLC Pharma Plc</t>
  </si>
  <si>
    <t>Białogard</t>
  </si>
  <si>
    <t>Afretosine</t>
  </si>
  <si>
    <t>Kreiger Inc Pharma Plc</t>
  </si>
  <si>
    <t>Mielec</t>
  </si>
  <si>
    <t>Menogine</t>
  </si>
  <si>
    <t>Nitzsche, Effertz and Maggio Pharmacy</t>
  </si>
  <si>
    <t>Malbork</t>
  </si>
  <si>
    <t>Doxivorin</t>
  </si>
  <si>
    <t>Lebsack, Yost and Heller Pharmaceutical Limited</t>
  </si>
  <si>
    <t>Wieliczka</t>
  </si>
  <si>
    <t>Aggretisol</t>
  </si>
  <si>
    <t>Harris, Daugherty and Okuneva Pharma Plc</t>
  </si>
  <si>
    <t>Krotoszyn</t>
  </si>
  <si>
    <t>Palodizem</t>
  </si>
  <si>
    <t>Zemlak Group Pharmaceutical Limited</t>
  </si>
  <si>
    <t>Koszalin</t>
  </si>
  <si>
    <t>Bogan, Jacobs and Kris Pharmacy</t>
  </si>
  <si>
    <t>Lubartów</t>
  </si>
  <si>
    <t>Cephovelam</t>
  </si>
  <si>
    <t>Kertzmann, Quitzon and Harris Pharma Plc</t>
  </si>
  <si>
    <t>Reszel</t>
  </si>
  <si>
    <t>Aquamycin Lacoran</t>
  </si>
  <si>
    <t>Cassin PLC Pharmacy</t>
  </si>
  <si>
    <t>Miastko</t>
  </si>
  <si>
    <t>Lesch PLC Pharmaceutical Ltd</t>
  </si>
  <si>
    <t>Głuszyca</t>
  </si>
  <si>
    <t>Quiniprosyn</t>
  </si>
  <si>
    <t>Bosco-Marquardt Pharm</t>
  </si>
  <si>
    <t>Lębork</t>
  </si>
  <si>
    <t>Gerhold, Mills and Effertz Pharm</t>
  </si>
  <si>
    <t>Głubczyce</t>
  </si>
  <si>
    <t>Megenorphine</t>
  </si>
  <si>
    <t xml:space="preserve">Welch-Langworth </t>
  </si>
  <si>
    <t>Warsaw</t>
  </si>
  <si>
    <t>Brakus, Rempel and Harber Pharma Plc</t>
  </si>
  <si>
    <t>Nowy Targ</t>
  </si>
  <si>
    <t>Imiderm Vibranovate</t>
  </si>
  <si>
    <t>Zemlak-Witting Pharmacy</t>
  </si>
  <si>
    <t>Międzyrzecz</t>
  </si>
  <si>
    <t>Atomorelin</t>
  </si>
  <si>
    <t xml:space="preserve">Gerlach LLC </t>
  </si>
  <si>
    <t>Collins-Schmidt Pharma Plc</t>
  </si>
  <si>
    <t>Marburg</t>
  </si>
  <si>
    <t>Aug</t>
  </si>
  <si>
    <t>Bosco-Marquardt Pharmaceutical Limited</t>
  </si>
  <si>
    <t>Brandenburg</t>
  </si>
  <si>
    <t>Ultrimax Ultriset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</si>
  <si>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</si>
  <si>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</si>
  <si>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</si>
  <si>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</si>
  <si>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</si>
  <si>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</si>
  <si>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>Aprerase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</si>
  <si>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</si>
  <si>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</si>
  <si>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</si>
  <si>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</si>
  <si>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</si>
  <si>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</si>
  <si>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</si>
  <si>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</si>
  <si>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</si>
  <si>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</si>
  <si>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</si>
  <si>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</si>
  <si>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</si>
  <si>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</si>
  <si>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</si>
  <si>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</si>
  <si>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</si>
  <si>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Factofribrate</t>
  </si>
  <si>
    <t>Lesch PLC Pharma Plc</t>
  </si>
  <si>
    <t>Kąnigs Wusterhausen</t>
  </si>
  <si>
    <t>Pulmofine</t>
  </si>
  <si>
    <t>Balistreri Group Pharmacy</t>
  </si>
  <si>
    <t>Bad Honnefam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</si>
  <si>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</si>
  <si>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</si>
  <si>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</si>
  <si>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</si>
  <si>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</si>
  <si>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</si>
  <si>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</si>
  <si>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</si>
  <si>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</si>
  <si>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</si>
  <si>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</si>
  <si>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Adriafinil Ehtymara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</si>
  <si>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</si>
  <si>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</si>
  <si>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</si>
  <si>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</si>
  <si>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</si>
  <si>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Unterschleiąyheim</t>
  </si>
  <si>
    <t>Nevanide Actozide</t>
  </si>
  <si>
    <t>Medhurst-Beer Pharm</t>
  </si>
  <si>
    <t>Viernheim</t>
  </si>
  <si>
    <t>Cricane Acamsumab</t>
  </si>
  <si>
    <t>Barton Ltd Pharmaceutical Limited</t>
  </si>
  <si>
    <t>Celle</t>
  </si>
  <si>
    <t>Ribabyclor</t>
  </si>
  <si>
    <t>Runte-Marquardt Pharm</t>
  </si>
  <si>
    <t>Wittenberg</t>
  </si>
  <si>
    <t>Parisian, Hagenes and Skiles Pharm</t>
  </si>
  <si>
    <t>Greiz</t>
  </si>
  <si>
    <t>Upton PLC Pharmaceutical Limited</t>
  </si>
  <si>
    <t>Móhlhausen</t>
  </si>
  <si>
    <t>Angioparin Brimosumab</t>
  </si>
  <si>
    <t>Raynor LLC Pharm</t>
  </si>
  <si>
    <t>Hilden</t>
  </si>
  <si>
    <t>Travoloride</t>
  </si>
  <si>
    <t>Koelpin, Luettgen and Abernathy Pharmaceutical Ltd</t>
  </si>
  <si>
    <t>Mąrfelden-Walldorf</t>
  </si>
  <si>
    <t>Zyvance</t>
  </si>
  <si>
    <t>Moen, Murazik and Smith Pharm</t>
  </si>
  <si>
    <t>Altenburg</t>
  </si>
  <si>
    <t>Antilamin Clinbital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</si>
  <si>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</si>
  <si>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</si>
  <si>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</si>
  <si>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</si>
  <si>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</si>
  <si>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</si>
  <si>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</si>
  <si>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Lódenscheid</t>
  </si>
  <si>
    <t>Relenvice</t>
  </si>
  <si>
    <t>Torphy, Pfeffer and Jakubowski Pharm</t>
  </si>
  <si>
    <t>Limburg</t>
  </si>
  <si>
    <t>Victomine</t>
  </si>
  <si>
    <t>VonRueden-Adams Pharm</t>
  </si>
  <si>
    <t>Delitzsch</t>
  </si>
  <si>
    <t>Adriacaine</t>
  </si>
  <si>
    <t>Skiles-McKenzie Pharmaceutical Limited</t>
  </si>
  <si>
    <t>Westerstede</t>
  </si>
  <si>
    <t>Aspinavir Silovance</t>
  </si>
  <si>
    <t>Okuneva-Corkery Pharm</t>
  </si>
  <si>
    <t>Groąy-Gerau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</si>
  <si>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</si>
  <si>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</si>
  <si>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</si>
  <si>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</si>
  <si>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</si>
  <si>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</si>
  <si>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</si>
  <si>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</si>
  <si>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</si>
  <si>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ITEM</t>
  </si>
  <si>
    <t>PRICE</t>
  </si>
  <si>
    <t>AVERAGE SELLING PRICE</t>
  </si>
  <si>
    <t>COUNTRY SALES PERFORMANCE ANALYSIS REPORT</t>
  </si>
  <si>
    <t>Total Sales</t>
  </si>
  <si>
    <t>Grand Total</t>
  </si>
  <si>
    <t>s</t>
  </si>
  <si>
    <t>PRODUCT SALES PERFORMANCE ANALYSIS REPORT</t>
  </si>
  <si>
    <t>Sum of Sales Revenue</t>
  </si>
  <si>
    <t>YEARLY AND MONTHLY SALES TREND PERFORMANCE ANALYSIS REPORT</t>
  </si>
  <si>
    <t>TOP AND BOTTOM PERFORMING PRODUCTS REPORT</t>
  </si>
  <si>
    <t>Products</t>
  </si>
  <si>
    <t>€</t>
  </si>
  <si>
    <t>ITEMS</t>
  </si>
  <si>
    <t>TOP PRODUCT</t>
  </si>
  <si>
    <t>BOTTOM PRODUCT</t>
  </si>
  <si>
    <t>PRODUCT</t>
  </si>
  <si>
    <t>REVENUE</t>
  </si>
  <si>
    <t xml:space="preserve"> SALES SUMMARY REPORT</t>
  </si>
  <si>
    <t>Total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</si>
</sst>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₦&quot;* #,##0.00_-;\-&quot;₦&quot;* #,##0.00_-;_-&quot;₦&quot;* &quot;-&quot;??_-;_-@_-"/>
    <numFmt numFmtId="165" formatCode="_-[$€-2]\ * #,##0.00_-;\-[$€-2]\ * #,##0.00_-;_-[$€-2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 tint="-0.249977111117893"/>
      <name val="Bahnschrift SemiBold"/>
      <family val="2"/>
    </font>
    <font>
      <sz val="14"/>
      <color theme="1"/>
      <name val="Segoe UI Black"/>
      <family val="2"/>
    </font>
    <font>
      <sz val="12"/>
      <color theme="2" tint="-0.749992370372631"/>
      <name val="Bahnschrift"/>
      <family val="2"/>
    </font>
    <font>
      <sz val="11"/>
      <color theme="3" tint="-0.249977111117893"/>
      <name val="Bahnschrift"/>
      <family val="2"/>
    </font>
    <font>
      <sz val="8"/>
      <name val="Calibri"/>
      <family val="2"/>
      <scheme val="minor"/>
    </font>
    <font>
      <b/>
      <sz val="12"/>
      <color theme="3" tint="-0.249977111117893"/>
      <name val="Bahnschrift"/>
      <family val="2"/>
    </font>
    <font>
      <b/>
      <sz val="11"/>
      <color theme="2" tint="-0.749992370372631"/>
      <name val="Cambria"/>
      <family val="1"/>
      <scheme val="major"/>
    </font>
    <font>
      <sz val="11"/>
      <color theme="3" tint="-0.249977111117893"/>
      <name val="Bahnschrift"/>
    </font>
    <font>
      <b/>
      <sz val="11"/>
      <color theme="1"/>
      <name val="Calibri"/>
      <family val="2"/>
      <scheme val="minor"/>
    </font>
    <font>
      <sz val="12"/>
      <color theme="3" tint="-0.249977111117893"/>
      <name val="Bahnschrift SemiBold"/>
    </font>
    <font>
      <b/>
      <sz val="14"/>
      <color rgb="FF4A66AC"/>
      <name val="Segoe UI Black"/>
      <family val="2"/>
    </font>
    <font>
      <sz val="14"/>
      <color rgb="FF4A66AC"/>
      <name val="Segoe UI Black"/>
      <family val="2"/>
    </font>
    <font>
      <b/>
      <sz val="18"/>
      <color rgb="FF4A66AC"/>
      <name val="Segoe UI Black"/>
      <family val="2"/>
    </font>
    <font>
      <sz val="18"/>
      <color rgb="FF4A66AC"/>
      <name val="Calibri"/>
      <family val="2"/>
      <scheme val="minor"/>
    </font>
    <font>
      <b/>
      <sz val="11"/>
      <color rgb="FF4A66AC"/>
      <name val="Calibri"/>
      <family val="2"/>
      <scheme val="minor"/>
    </font>
    <font>
      <b/>
      <u/>
      <sz val="14"/>
      <color rgb="FF4A66AC"/>
      <name val="Segoe UI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4A66A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left"/>
    </xf>
    <xf numFmtId="165" fontId="0" fillId="0" borderId="0" xfId="0" applyNumberFormat="1"/>
    <xf numFmtId="0" fontId="6" fillId="4" borderId="0" xfId="0" applyFont="1" applyFill="1" applyAlignment="1">
      <alignment horizontal="right"/>
    </xf>
    <xf numFmtId="0" fontId="7" fillId="4" borderId="0" xfId="0" applyFont="1" applyFill="1"/>
    <xf numFmtId="0" fontId="3" fillId="2" borderId="0" xfId="0" applyFont="1" applyFill="1"/>
    <xf numFmtId="165" fontId="4" fillId="3" borderId="0" xfId="0" applyNumberFormat="1" applyFont="1" applyFill="1"/>
    <xf numFmtId="165" fontId="6" fillId="4" borderId="0" xfId="0" applyNumberFormat="1" applyFont="1" applyFill="1"/>
    <xf numFmtId="165" fontId="7" fillId="4" borderId="0" xfId="0" applyNumberFormat="1" applyFont="1" applyFill="1"/>
    <xf numFmtId="0" fontId="9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165" fontId="11" fillId="4" borderId="0" xfId="0" applyNumberFormat="1" applyFont="1" applyFill="1"/>
    <xf numFmtId="165" fontId="13" fillId="4" borderId="0" xfId="0" applyNumberFormat="1" applyFont="1" applyFill="1"/>
    <xf numFmtId="165" fontId="13" fillId="4" borderId="0" xfId="0" applyNumberFormat="1" applyFont="1" applyFill="1" applyAlignment="1">
      <alignment horizontal="left"/>
    </xf>
    <xf numFmtId="165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2" borderId="0" xfId="0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4" fillId="0" borderId="0" xfId="0" applyFont="1"/>
    <xf numFmtId="0" fontId="18" fillId="0" borderId="0" xfId="0" applyFont="1"/>
    <xf numFmtId="0" fontId="0" fillId="5" borderId="0" xfId="0" applyFill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85"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vertical="center"/>
    </dxf>
    <dxf>
      <numFmt numFmtId="166" formatCode="#,##0\ [$€-407]"/>
    </dxf>
    <dxf>
      <numFmt numFmtId="167" formatCode="#,##0.00\ [$€-407]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>
          <fgColor theme="4" tint="0.59996337778862885"/>
          <bgColor theme="4" tint="0.399914548173467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alignment horizontal="right"/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A66AC"/>
      <color rgb="FFF2F2F2"/>
      <color rgb="FF000000"/>
      <color rgb="FFCCCCFF"/>
      <color rgb="FFC4C739"/>
      <color rgb="FF072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[null.xlsx]Country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3470848"/>
        <c:axId val="169587200"/>
      </c:barChart>
      <c:catAx>
        <c:axId val="2034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7200"/>
        <c:crosses val="autoZero"/>
        <c:auto val="1"/>
        <c:lblAlgn val="ctr"/>
        <c:lblOffset val="100"/>
        <c:noMultiLvlLbl val="0"/>
      </c:catAx>
      <c:valAx>
        <c:axId val="169587200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[null.xlsx]Product 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1"/>
                </a:solidFill>
              </a:rPr>
              <a:t>Top</a:t>
            </a:r>
            <a:r>
              <a:rPr lang="en-US" sz="1800" baseline="0">
                <a:solidFill>
                  <a:schemeClr val="accent1"/>
                </a:solidFill>
              </a:rPr>
              <a:t> 10 Products by Sales Revenue</a:t>
            </a:r>
            <a:endParaRPr lang="en-US" sz="1800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8B-4608-9310-227F8576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559872"/>
        <c:axId val="169588928"/>
      </c:barChart>
      <c:catAx>
        <c:axId val="20455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9588928"/>
        <c:crosses val="autoZero"/>
        <c:auto val="1"/>
        <c:lblAlgn val="ctr"/>
        <c:lblOffset val="100"/>
        <c:noMultiLvlLbl val="0"/>
      </c:catAx>
      <c:valAx>
        <c:axId val="16958892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45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[null.xlsx]Sales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</a:rPr>
              <a:t>Yearly  Sales Trend</a:t>
            </a:r>
          </a:p>
        </c:rich>
      </c:tx>
      <c:layout>
        <c:manualLayout>
          <c:xMode val="edge"/>
          <c:yMode val="edge"/>
          <c:x val="0.40822745946288569"/>
          <c:y val="4.3932424826585846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61920"/>
        <c:axId val="205201984"/>
      </c:lineChart>
      <c:catAx>
        <c:axId val="2045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5201984"/>
        <c:crosses val="autoZero"/>
        <c:auto val="1"/>
        <c:lblAlgn val="ctr"/>
        <c:lblOffset val="100"/>
        <c:noMultiLvlLbl val="0"/>
      </c:catAx>
      <c:valAx>
        <c:axId val="2052019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456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j-lt"/>
                <a:ea typeface="+mj-ea"/>
                <a:cs typeface="+mj-cs"/>
              </a:defRPr>
            </a:pPr>
            <a:r>
              <a:rPr lang="en-US" sz="1800">
                <a:solidFill>
                  <a:srgbClr val="4A66AC"/>
                </a:solidFill>
                <a:effectLst/>
                <a:latin typeface="+mn-lt"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46-4267-90B7-A259EC9C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5059584"/>
        <c:axId val="205203136"/>
      </c:areaChart>
      <c:catAx>
        <c:axId val="2050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5203136"/>
        <c:crosses val="autoZero"/>
        <c:auto val="1"/>
        <c:lblAlgn val="ctr"/>
        <c:lblOffset val="100"/>
        <c:noMultiLvlLbl val="0"/>
      </c:catAx>
      <c:valAx>
        <c:axId val="205203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505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[null.xlsx]Sales Trend!PivotTable5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61632"/>
        <c:axId val="205205440"/>
      </c:lineChart>
      <c:catAx>
        <c:axId val="2050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5205440"/>
        <c:crosses val="autoZero"/>
        <c:auto val="1"/>
        <c:lblAlgn val="ctr"/>
        <c:lblOffset val="100"/>
        <c:noMultiLvlLbl val="0"/>
      </c:catAx>
      <c:valAx>
        <c:axId val="205205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50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[null.xlsx]Product Sales!PivotTable4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</a:t>
            </a:r>
            <a:r>
              <a:rPr lang="en-US" sz="1400" baseline="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10 Products by Sales Revenue</a:t>
            </a:r>
            <a:endParaRPr lang="en-US" sz="1400">
              <a:solidFill>
                <a:srgbClr val="4A66AC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960330144313047"/>
          <c:y val="0.24183301366370927"/>
          <c:w val="0.5230932444434383"/>
          <c:h val="0.663576669661094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93-4CDF-883B-0505B855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5447168"/>
        <c:axId val="169632896"/>
      </c:barChart>
      <c:catAx>
        <c:axId val="20544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9632896"/>
        <c:crosses val="autoZero"/>
        <c:auto val="1"/>
        <c:lblAlgn val="ctr"/>
        <c:lblOffset val="100"/>
        <c:noMultiLvlLbl val="0"/>
      </c:catAx>
      <c:valAx>
        <c:axId val="1696328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[null.xlsx]Sales Trend!PivotTable6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FD-4A91-BB0D-ACCFA5F7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5448704"/>
        <c:axId val="169634048"/>
      </c:areaChart>
      <c:catAx>
        <c:axId val="2054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9634048"/>
        <c:crosses val="autoZero"/>
        <c:auto val="1"/>
        <c:lblAlgn val="ctr"/>
        <c:lblOffset val="100"/>
        <c:noMultiLvlLbl val="0"/>
      </c:catAx>
      <c:valAx>
        <c:axId val="1696340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544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[null.xlsx]Country Performance!PivotTable2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  <c:pivotFmt>
        <c:idx val="8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9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708736"/>
        <c:axId val="169636928"/>
      </c:barChart>
      <c:catAx>
        <c:axId val="2067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6928"/>
        <c:crosses val="autoZero"/>
        <c:auto val="1"/>
        <c:lblAlgn val="ctr"/>
        <c:lblOffset val="100"/>
        <c:noMultiLvlLbl val="0"/>
      </c:catAx>
      <c:valAx>
        <c:axId val="169636928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[null.xlsx]Sales Trend!PivotTable5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9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0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3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4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1104"/>
        <c:axId val="169639232"/>
      </c:lineChart>
      <c:catAx>
        <c:axId val="2061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9639232"/>
        <c:crosses val="autoZero"/>
        <c:auto val="1"/>
        <c:lblAlgn val="ctr"/>
        <c:lblOffset val="100"/>
        <c:noMultiLvlLbl val="0"/>
      </c:catAx>
      <c:valAx>
        <c:axId val="169639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61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650875</xdr:colOff>
      <xdr:row>2</xdr:row>
      <xdr:rowOff>139700</xdr:rowOff>
    </xdr:from>
    <xdr:to>
      <xdr:col>15</xdr:col>
      <xdr:colOff>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229F6CF-5011-81DD-3B41-0DC8ABB84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76199</xdr:rowOff>
    </xdr:from>
    <xdr:to>
      <xdr:col>16</xdr:col>
      <xdr:colOff>171450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DF1D6A9-6D41-9B84-913D-13C8454B4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106593</xdr:colOff>
      <xdr:row>3</xdr:row>
      <xdr:rowOff>53662</xdr:rowOff>
    </xdr:from>
    <xdr:to>
      <xdr:col>20</xdr:col>
      <xdr:colOff>536621</xdr:colOff>
      <xdr:row>24</xdr:row>
      <xdr:rowOff>26830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107325</xdr:colOff>
      <xdr:row>26</xdr:row>
      <xdr:rowOff>129456</xdr:rowOff>
    </xdr:from>
    <xdr:to>
      <xdr:col>20</xdr:col>
      <xdr:colOff>590282</xdr:colOff>
      <xdr:row>47</xdr:row>
      <xdr:rowOff>93907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7907F3D-5B52-B63C-55A3-4CD09C26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115895</xdr:colOff>
      <xdr:row>4</xdr:row>
      <xdr:rowOff>89794</xdr:rowOff>
    </xdr:from>
    <xdr:to>
      <xdr:col>20</xdr:col>
      <xdr:colOff>545923</xdr:colOff>
      <xdr:row>25</xdr:row>
      <xdr:rowOff>71906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479426</xdr:colOff>
      <xdr:row>4</xdr:row>
      <xdr:rowOff>155574</xdr:rowOff>
    </xdr:from>
    <xdr:to>
      <xdr:col>4</xdr:col>
      <xdr:colOff>3727450</xdr:colOff>
      <xdr:row>13</xdr:row>
      <xdr:rowOff>171450</xdr:rowOff>
    </xdr:to>
    <xdr:sp macro="" textlink="E53">
      <xdr:nvSpPr>
        <xdr:cNvPr id="2" name="Rectangle: Rounded Corners 1" descr="TOP PRODUCT&#10;&#10;RIBABYLOR&#10;&#10;€234,500.00&#10;">
          <a:extLst>
            <a:ext uri="{FF2B5EF4-FFF2-40B4-BE49-F238E27FC236}">
              <a16:creationId xmlns:a16="http://schemas.microsoft.com/office/drawing/2014/main" xmlns="" id="{ACBDE5E8-94D2-1BDF-0B2C-EB44D9CFF577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5788026" y="974724"/>
          <a:ext cx="3248024" cy="1673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TOP</a:t>
          </a:r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PRODUCT</a:t>
          </a:r>
        </a:p>
        <a:p>
          <a:pPr algn="ctr"/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Ribabyclor</a:t>
          </a:r>
        </a:p>
        <a:p>
          <a:pPr algn="ctr"/>
          <a:endParaRPr lang="en-US" sz="1600" b="1" i="0" u="none" strike="noStrike" cap="none" spc="0" baseline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  <a:cs typeface="Calibri"/>
          </a:endParaRPr>
        </a:p>
        <a:p>
          <a:pPr algn="ctr"/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Revenue: </a:t>
          </a:r>
          <a:r>
            <a:rPr kumimoji="0" lang="en-US" sz="2000" b="1" i="0" u="none" strike="noStrike" kern="0" cap="none" spc="0" normalizeH="0" baseline="0" noProof="0">
              <a:ln w="9525">
                <a:solidFill>
                  <a:prstClr val="white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€</a:t>
          </a:r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234,500.00</a:t>
          </a:r>
          <a:endParaRPr lang="x-none" sz="1600" b="1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3</xdr:col>
      <xdr:colOff>2343150</xdr:colOff>
      <xdr:row>143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B83E8FE-67C9-6CCE-9A96-C0B5AE378E20}"/>
            </a:ext>
          </a:extLst>
        </xdr:cNvPr>
        <xdr:cNvSpPr txBox="1"/>
      </xdr:nvSpPr>
      <xdr:spPr>
        <a:xfrm>
          <a:off x="707707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x-none" sz="1100"/>
        </a:p>
      </xdr:txBody>
    </xdr:sp>
    <xdr:clientData/>
  </xdr:oneCellAnchor>
  <xdr:twoCellAnchor>
    <xdr:from>
      <xdr:col>4</xdr:col>
      <xdr:colOff>3908426</xdr:colOff>
      <xdr:row>4</xdr:row>
      <xdr:rowOff>123824</xdr:rowOff>
    </xdr:from>
    <xdr:to>
      <xdr:col>6</xdr:col>
      <xdr:colOff>1365250</xdr:colOff>
      <xdr:row>13</xdr:row>
      <xdr:rowOff>165100</xdr:rowOff>
    </xdr:to>
    <xdr:sp macro="" textlink="">
      <xdr:nvSpPr>
        <xdr:cNvPr id="4" name="Rectangle: Rounded Corners 3" descr="TOP PRODUCT&#10;&#10;RIBABYLOR&#10;&#10;€234,500.00&#10;">
          <a:extLst>
            <a:ext uri="{FF2B5EF4-FFF2-40B4-BE49-F238E27FC236}">
              <a16:creationId xmlns:a16="http://schemas.microsoft.com/office/drawing/2014/main" xmlns="" id="{C408C5B5-EB9B-49C4-85E4-6758220AACA9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9217026" y="942974"/>
          <a:ext cx="3482974" cy="16986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BOTTOM PRODUCT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Immurenol Temarate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Revenue: - € 35,451.00</a:t>
          </a:r>
        </a:p>
      </xdr:txBody>
    </xdr:sp>
    <xdr:clientData/>
  </xdr:twoCellAnchor>
  <xdr:twoCellAnchor>
    <xdr:from>
      <xdr:col>4</xdr:col>
      <xdr:colOff>873125</xdr:colOff>
      <xdr:row>6</xdr:row>
      <xdr:rowOff>47625</xdr:rowOff>
    </xdr:from>
    <xdr:to>
      <xdr:col>4</xdr:col>
      <xdr:colOff>1206500</xdr:colOff>
      <xdr:row>8</xdr:row>
      <xdr:rowOff>171450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xmlns="" id="{7CA2C8E5-122A-C5DE-B204-3D10A6462CB5}"/>
            </a:ext>
          </a:extLst>
        </xdr:cNvPr>
        <xdr:cNvSpPr/>
      </xdr:nvSpPr>
      <xdr:spPr>
        <a:xfrm>
          <a:off x="6181725" y="1235075"/>
          <a:ext cx="333375" cy="49212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4</xdr:col>
      <xdr:colOff>4197350</xdr:colOff>
      <xdr:row>6</xdr:row>
      <xdr:rowOff>50800</xdr:rowOff>
    </xdr:from>
    <xdr:to>
      <xdr:col>4</xdr:col>
      <xdr:colOff>4552950</xdr:colOff>
      <xdr:row>9</xdr:row>
      <xdr:rowOff>9524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xmlns="" id="{57CDEC68-A516-87C3-FC7F-36D4636145CE}"/>
            </a:ext>
          </a:extLst>
        </xdr:cNvPr>
        <xdr:cNvSpPr/>
      </xdr:nvSpPr>
      <xdr:spPr>
        <a:xfrm>
          <a:off x="9505950" y="1238250"/>
          <a:ext cx="355600" cy="511174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3076575</xdr:colOff>
      <xdr:row>4</xdr:row>
      <xdr:rowOff>142874</xdr:rowOff>
    </xdr:from>
    <xdr:to>
      <xdr:col>3</xdr:col>
      <xdr:colOff>6000751</xdr:colOff>
      <xdr:row>12</xdr:row>
      <xdr:rowOff>165099</xdr:rowOff>
    </xdr:to>
    <xdr:sp macro="" textlink="">
      <xdr:nvSpPr>
        <xdr:cNvPr id="3" name="Rectangle: Rounded Corners 2" descr="TOP PRODUCT&#10;&#10;RIBABYLOR&#10;&#10;€234,500.00&#10;">
          <a:extLst>
            <a:ext uri="{FF2B5EF4-FFF2-40B4-BE49-F238E27FC236}">
              <a16:creationId xmlns:a16="http://schemas.microsoft.com/office/drawing/2014/main" xmlns="" id="{E98656EB-4F61-4C62-987A-A89434393867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5426075" y="962024"/>
          <a:ext cx="2924176" cy="14954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3</xdr:col>
      <xdr:colOff>3190875</xdr:colOff>
      <xdr:row>14</xdr:row>
      <xdr:rowOff>142874</xdr:rowOff>
    </xdr:from>
    <xdr:to>
      <xdr:col>3</xdr:col>
      <xdr:colOff>6105525</xdr:colOff>
      <xdr:row>22</xdr:row>
      <xdr:rowOff>158749</xdr:rowOff>
    </xdr:to>
    <xdr:sp macro="" textlink="">
      <xdr:nvSpPr>
        <xdr:cNvPr id="2" name="Rectangle: Rounded Corners 1" descr="TOP PRODUCT&#10;&#10;RIBABYLOR&#10;&#10;€234,500.00&#10;">
          <a:extLst>
            <a:ext uri="{FF2B5EF4-FFF2-40B4-BE49-F238E27FC236}">
              <a16:creationId xmlns:a16="http://schemas.microsoft.com/office/drawing/2014/main" xmlns="" id="{3FD1255B-AFDF-45E3-BB70-F5490FCE3DF6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5540375" y="2803524"/>
          <a:ext cx="2914650" cy="148907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algn="ctr"/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14</xdr:row>
      <xdr:rowOff>9525</xdr:rowOff>
    </xdr:from>
    <xdr:to>
      <xdr:col>20</xdr:col>
      <xdr:colOff>552450</xdr:colOff>
      <xdr:row>28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6B3ECE15-A339-4D5C-827F-3187B074A02B}"/>
            </a:ext>
            <a:ext uri="{147F2762-F138-4A5C-976F-8EAC2B608ADB}">
              <a16:predDERef xmlns:a16="http://schemas.microsoft.com/office/drawing/2014/main" xmlns="" pred="{31098E59-51EF-4C85-ACEE-E6A11007C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29</xdr:row>
      <xdr:rowOff>38100</xdr:rowOff>
    </xdr:from>
    <xdr:to>
      <xdr:col>20</xdr:col>
      <xdr:colOff>574675</xdr:colOff>
      <xdr:row>46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11D5974C-24A3-4786-96DD-3C68ECB0A2D1}"/>
            </a:ext>
            <a:ext uri="{147F2762-F138-4A5C-976F-8EAC2B608ADB}">
              <a16:predDERef xmlns:a16="http://schemas.microsoft.com/office/drawing/2014/main" xmlns="" pred="{6B3ECE15-A339-4D5C-827F-3187B074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5</xdr:row>
      <xdr:rowOff>104774</xdr:rowOff>
    </xdr:from>
    <xdr:to>
      <xdr:col>20</xdr:col>
      <xdr:colOff>514350</xdr:colOff>
      <xdr:row>13</xdr:row>
      <xdr:rowOff>82549</xdr:rowOff>
    </xdr:to>
    <xdr:sp macro="" textlink="">
      <xdr:nvSpPr>
        <xdr:cNvPr id="24" name="Rectangle: Rounded Corners 23" descr="TOP PRODUCT&#10;&#10;RIBABYLOR&#10;&#10;€234,500.00&#10;">
          <a:extLst>
            <a:ext uri="{FF2B5EF4-FFF2-40B4-BE49-F238E27FC236}">
              <a16:creationId xmlns:a16="http://schemas.microsoft.com/office/drawing/2014/main" xmlns="" id="{08B29582-ACFC-4DCE-9386-31B15889DBF3}"/>
            </a:ext>
            <a:ext uri="{147F2762-F138-4A5C-976F-8EAC2B608ADB}">
              <a16:predDERef xmlns:a16="http://schemas.microsoft.com/office/drawing/2014/main" xmlns="" pred="{11D5974C-24A3-4786-96DD-3C68ECB0A2D1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10039350" y="1025524"/>
          <a:ext cx="3302000" cy="145097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10</xdr:col>
      <xdr:colOff>323850</xdr:colOff>
      <xdr:row>5</xdr:row>
      <xdr:rowOff>127000</xdr:rowOff>
    </xdr:from>
    <xdr:to>
      <xdr:col>15</xdr:col>
      <xdr:colOff>381000</xdr:colOff>
      <xdr:row>13</xdr:row>
      <xdr:rowOff>85725</xdr:rowOff>
    </xdr:to>
    <xdr:sp macro="" textlink="">
      <xdr:nvSpPr>
        <xdr:cNvPr id="25" name="Rectangle: Rounded Corners 24" descr="TOP PRODUCT&#10;&#10;RIBABYLOR&#10;&#10;€234,500.00&#10;">
          <a:extLst>
            <a:ext uri="{FF2B5EF4-FFF2-40B4-BE49-F238E27FC236}">
              <a16:creationId xmlns:a16="http://schemas.microsoft.com/office/drawing/2014/main" xmlns="" id="{0284714C-D08B-49B8-8FF7-4E2C812C1943}"/>
            </a:ext>
            <a:ext uri="{147F2762-F138-4A5C-976F-8EAC2B608ADB}">
              <a16:predDERef xmlns:a16="http://schemas.microsoft.com/office/drawing/2014/main" xmlns="" pred="{08B29582-ACFC-4DCE-9386-31B15889DBF3}"/>
            </a:ext>
            <a:ext uri="{C183D7F6-B498-43B3-948B-1728B52AA6E4}">
              <adec:decorative xmlns:adec="http://schemas.microsoft.com/office/drawing/2017/decorative" xmlns="" val="0"/>
            </a:ext>
          </a:extLst>
        </xdr:cNvPr>
        <xdr:cNvSpPr/>
      </xdr:nvSpPr>
      <xdr:spPr>
        <a:xfrm>
          <a:off x="6737350" y="1047750"/>
          <a:ext cx="3263900" cy="14319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123825</xdr:colOff>
      <xdr:row>0</xdr:row>
      <xdr:rowOff>76200</xdr:rowOff>
    </xdr:from>
    <xdr:to>
      <xdr:col>20</xdr:col>
      <xdr:colOff>523875</xdr:colOff>
      <xdr:row>4</xdr:row>
      <xdr:rowOff>104775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xmlns="" id="{433B2961-28C7-62EC-42BE-A8619DE49522}"/>
            </a:ext>
            <a:ext uri="{147F2762-F138-4A5C-976F-8EAC2B608ADB}">
              <a16:predDERef xmlns:a16="http://schemas.microsoft.com/office/drawing/2014/main" xmlns="" pred="{0284714C-D08B-49B8-8FF7-4E2C812C1943}"/>
            </a:ext>
          </a:extLst>
        </xdr:cNvPr>
        <xdr:cNvSpPr/>
      </xdr:nvSpPr>
      <xdr:spPr>
        <a:xfrm>
          <a:off x="123825" y="76200"/>
          <a:ext cx="12592050" cy="7905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dist="50800" dir="3960000" sx="1000" sy="1000" algn="ctr" rotWithShape="0">
            <a:schemeClr val="bg1">
              <a:lumMod val="8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  <a:r>
            <a:rPr lang="en-US" sz="280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PHARMACEUTIAL</a:t>
          </a:r>
          <a:r>
            <a:rPr lang="en-US" sz="2800" baseline="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SALES PERFORMANCE DASHBOARD</a:t>
          </a:r>
          <a:endParaRPr lang="x-none" sz="2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0</xdr:col>
      <xdr:colOff>57150</xdr:colOff>
      <xdr:row>5</xdr:row>
      <xdr:rowOff>95251</xdr:rowOff>
    </xdr:from>
    <xdr:to>
      <xdr:col>5</xdr:col>
      <xdr:colOff>266700</xdr:colOff>
      <xdr:row>13</xdr:row>
      <xdr:rowOff>152401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FD62BFB6-E238-F06D-4C60-50C822118777}"/>
            </a:ext>
            <a:ext uri="{147F2762-F138-4A5C-976F-8EAC2B608ADB}">
              <a16:predDERef xmlns:a16="http://schemas.microsoft.com/office/drawing/2014/main" xmlns="" pred="{433B2961-28C7-62EC-42BE-A8619DE49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1016001"/>
          <a:ext cx="3416300" cy="153035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172812</xdr:colOff>
      <xdr:row>5</xdr:row>
      <xdr:rowOff>88901</xdr:rowOff>
    </xdr:from>
    <xdr:to>
      <xdr:col>10</xdr:col>
      <xdr:colOff>352425</xdr:colOff>
      <xdr:row>13</xdr:row>
      <xdr:rowOff>173743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93F35301-89D0-811F-D068-D23598B057C8}"/>
            </a:ext>
            <a:ext uri="{147F2762-F138-4A5C-976F-8EAC2B608ADB}">
              <a16:predDERef xmlns:a16="http://schemas.microsoft.com/office/drawing/2014/main" xmlns="" pred="{FD62BFB6-E238-F06D-4C60-50C82211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9562" y="1009651"/>
          <a:ext cx="3386363" cy="1558042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6</xdr:row>
      <xdr:rowOff>171450</xdr:rowOff>
    </xdr:from>
    <xdr:to>
      <xdr:col>1</xdr:col>
      <xdr:colOff>314325</xdr:colOff>
      <xdr:row>9</xdr:row>
      <xdr:rowOff>47625</xdr:rowOff>
    </xdr:to>
    <xdr:sp macro="" textlink="">
      <xdr:nvSpPr>
        <xdr:cNvPr id="32" name="Arrow: Up 31">
          <a:extLst>
            <a:ext uri="{FF2B5EF4-FFF2-40B4-BE49-F238E27FC236}">
              <a16:creationId xmlns:a16="http://schemas.microsoft.com/office/drawing/2014/main" xmlns="" id="{346ECC0C-2EAE-4714-9A98-758CA16CE59A}"/>
            </a:ext>
            <a:ext uri="{147F2762-F138-4A5C-976F-8EAC2B608ADB}">
              <a16:predDERef xmlns:a16="http://schemas.microsoft.com/office/drawing/2014/main" xmlns="" pred="{93F35301-89D0-811F-D068-D23598B057C8}"/>
            </a:ext>
          </a:extLst>
        </xdr:cNvPr>
        <xdr:cNvSpPr/>
      </xdr:nvSpPr>
      <xdr:spPr>
        <a:xfrm>
          <a:off x="590550" y="1314450"/>
          <a:ext cx="333375" cy="44767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5</xdr:col>
      <xdr:colOff>390525</xdr:colOff>
      <xdr:row>6</xdr:row>
      <xdr:rowOff>171450</xdr:rowOff>
    </xdr:from>
    <xdr:to>
      <xdr:col>6</xdr:col>
      <xdr:colOff>76200</xdr:colOff>
      <xdr:row>9</xdr:row>
      <xdr:rowOff>76200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xmlns="" id="{BC81B1F3-1A8F-4EB0-A1BF-9A8FDE2F492A}"/>
            </a:ext>
            <a:ext uri="{147F2762-F138-4A5C-976F-8EAC2B608ADB}">
              <a16:predDERef xmlns:a16="http://schemas.microsoft.com/office/drawing/2014/main" xmlns="" pred="{346ECC0C-2EAE-4714-9A98-758CA16CE59A}"/>
            </a:ext>
          </a:extLst>
        </xdr:cNvPr>
        <xdr:cNvSpPr/>
      </xdr:nvSpPr>
      <xdr:spPr>
        <a:xfrm>
          <a:off x="3597275" y="1276350"/>
          <a:ext cx="327025" cy="4572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0</xdr:col>
      <xdr:colOff>76199</xdr:colOff>
      <xdr:row>14</xdr:row>
      <xdr:rowOff>0</xdr:rowOff>
    </xdr:from>
    <xdr:to>
      <xdr:col>9</xdr:col>
      <xdr:colOff>622300</xdr:colOff>
      <xdr:row>29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xmlns="" id="{0229F6CF-5011-81DD-3B41-0DC8ABB84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29</xdr:row>
      <xdr:rowOff>25400</xdr:rowOff>
    </xdr:from>
    <xdr:to>
      <xdr:col>9</xdr:col>
      <xdr:colOff>628650</xdr:colOff>
      <xdr:row>46</xdr:row>
      <xdr:rowOff>6350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xmlns="" id="{4CAB6A2E-4863-2021-0642-9F267E351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AEZE JENNIFER" refreshedDate="46088.706898032404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Abobozolid"/>
        <s v="Abranatal Lysoprosate"/>
        <s v="Acantaine"/>
        <s v="Acelimus"/>
        <s v="Aciprex"/>
        <s v="Aclonuma"/>
        <s v="Adalatamine"/>
        <s v="Adideine"/>
        <s v="Adrecetam Barazoxane"/>
        <s v="Adriacaine"/>
        <s v="Adriafinil Ehtymara"/>
        <s v="Adtiza Gammaluble"/>
        <s v="Afaxacin"/>
        <s v="Afinitasol"/>
        <s v="Afretosine"/>
        <s v="Agalsiline"/>
        <s v="Aggretisol"/>
        <s v="Aldevac"/>
        <s v="Algluconium Dorzofoxin"/>
        <s v="Alglutriptan"/>
        <s v="Alimmethate Insudase"/>
        <s v="Alisteride Pemidizem"/>
        <s v="Amamadin"/>
        <s v="Amavirase"/>
        <s v="Amphesirox"/>
        <s v="Ampinonide"/>
        <s v="Ampysin"/>
        <s v="Androporin"/>
        <s v="Angioparin Brimosumab"/>
        <s v="Antilamin Clinbital"/>
        <s v="Aprerase"/>
        <s v="Aquamycin Lacoran"/>
        <s v="Argalazine Abostryl"/>
        <s v="Aspinavir Silovance"/>
        <s v="Atomorelin"/>
        <s v="Atrabicin Alkerotec"/>
        <s v="Benzoprox"/>
        <s v="Biotasol Siloderm"/>
        <s v="Cephovelam"/>
        <s v="Ceretosine"/>
        <s v="Choriogestrel"/>
        <s v="Choriotrisin"/>
        <s v="Ciclonazol"/>
        <s v="Claricriptine Adaferol"/>
        <s v="Clindaracil"/>
        <s v="Clinolan Pitoletra"/>
        <s v="Comzyme"/>
        <s v="Cricane Acamsumab"/>
        <s v="Dantocept Ferurenone"/>
        <s v="Decidenu Galantrigine"/>
        <s v="Dexmeprazole Transnuvia"/>
        <s v="Diaxolol"/>
        <s v="Diprolimus"/>
        <s v="Diprotaine"/>
        <s v="Dorzovorin Pentadarone"/>
        <s v="Doxivorin"/>
        <s v="Enzastryl"/>
        <s v="Eproline"/>
        <s v="Epzipitant"/>
        <s v="Ergomethate"/>
        <s v="Exotropin Empizine"/>
        <s v="Factofribrate"/>
        <s v="Finanel"/>
        <s v="Fosinofen"/>
        <s v="Ganineva Agenium"/>
        <s v="Hepavice"/>
        <s v="Imiderm Vibranovate"/>
        <s v="Imiformin Transmunex"/>
        <s v="Immurenol Temarate"/>
        <s v="Insozyme"/>
        <s v="Interfeferon Aspipex"/>
        <s v="Invisteride Diclomycin"/>
        <s v="Ketastadil"/>
        <s v="Kinenadryl"/>
        <s v="Kiovax Tercorolac"/>
        <s v="Lacoplex Hyaluvance"/>
        <s v="Lansopril Acribax"/>
        <s v="Lansostral Acgestin"/>
        <s v="Lioletine Refliruvax"/>
        <s v="Lovapur"/>
        <s v="Magnemunex"/>
        <s v="Magneprex"/>
        <s v="Malavirine Alimdine"/>
        <s v="Malaxolol Aeroprosyn"/>
        <s v="Megenorphine"/>
        <s v="Menogine"/>
        <s v="Methiclotide"/>
        <s v="Morphizolid Tianalin"/>
        <s v="Neuropogen Empibax"/>
        <s v="Nevanide Actozide"/>
        <s v="Novakyn Tracprox"/>
        <s v="Oxymotroban Fexoformin"/>
        <s v="Palodizem"/>
        <s v="Panpion"/>
        <s v="Paronium Atracustone"/>
        <s v="Pazofenac"/>
        <s v="Penitrana"/>
        <s v="Pitodomide"/>
        <s v="Proderal"/>
        <s v="Propralamide Dexlanzolam"/>
        <s v="Propratecan"/>
        <s v="Pulmofine"/>
        <s v="Quiniprosyn"/>
        <s v="Ranediol"/>
        <s v="Raparidol"/>
        <s v="Relenstrel Exurabine"/>
        <s v="Relenvice"/>
        <s v="Requimadin"/>
        <s v="Ribabyclor"/>
        <s v="Saprodeine Zanprosyn"/>
        <s v="Sevoderm"/>
        <s v="Solasteride"/>
        <s v="Spiroderall"/>
        <s v="Stelazolid"/>
        <s v="Sucprine Specbalamin"/>
        <s v="Symbiroban"/>
        <s v="Symbitrim"/>
        <s v="Tacrodomide"/>
        <s v="Temasone Thiobucil"/>
        <s v="Testant"/>
        <s v="Tetratanyl"/>
        <s v="Theopril"/>
        <s v="Thionide"/>
        <s v="Topipizole"/>
        <s v="Tracdomide"/>
        <s v="Travoloride"/>
        <s v="Travosoline Capolac"/>
        <s v="Trazobalamin"/>
        <s v="Trazozaprine"/>
        <s v="Ultrimax Ultriset"/>
        <s v="Victomine"/>
        <s v="Xenaderal"/>
        <s v="Zarostral"/>
        <s v="Zithrotrol"/>
        <s v="Zonixamine Immulinum"/>
        <s v="Zyvance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AEZE JENNIFER" refreshedDate="46088.706900462967" createdVersion="5" refreshedVersion="8" minRefreshableVersion="3" recordCount="0" supportSubquery="1" supportAdvancedDrill="1">
  <cacheSource type="external" connectionId="2"/>
  <cacheFields count="2">
    <cacheField name="[Sheet1].[Year].[Year]" caption="Year" numFmtId="0" hierarchy="1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Sheet1].[Year].&amp;[2017]"/>
            <x15:cachedUniqueName index="1" name="[Sheet1].[Year].&amp;[2018]"/>
          </x15:cachedUniqueNames>
        </ext>
      </extLst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2" memberValueDatatype="20" unbalanced="0">
      <fieldsUsage count="2">
        <fieldUsage x="-1"/>
        <fieldUsage x="0"/>
      </fieldsUsage>
    </cacheHierarchy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AEZE JENNIFER" refreshedDate="46088.706907523148" createdVersion="5" refreshedVersion="8" minRefreshableVersion="3" recordCount="0" supportSubquery="1" supportAdvancedDrill="1">
  <cacheSource type="external" connectionId="2"/>
  <cacheFields count="2">
    <cacheField name="[Sheet1].[Country].[Country]" caption="Country" numFmtId="0" hierarchy="3" level="1">
      <sharedItems count="2">
        <s v="Germany"/>
        <s v="Poland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AEZE JENNIFER" refreshedDate="46088.707352546298" createdVersion="5" refreshedVersion="8" minRefreshableVersion="3" recordCount="0" supportSubquery="1" supportAdvancedDrill="1">
  <cacheSource type="external" connectionId="2"/>
  <cacheFields count="1"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AEZE JENNIFER" refreshedDate="46131.488860648147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Dexmeprazole Transnuvia"/>
        <s v="Invisteride Diclomycin"/>
        <s v="Lovapur"/>
        <s v="Magnemunex"/>
        <s v="Morphizolid Tianalin"/>
        <s v="Panpion"/>
        <s v="Ribabyclor"/>
        <s v="Spiroderall"/>
        <s v="Tetratanyl"/>
        <s v="Trazobalamin"/>
        <s v="Abobozolid" u="1"/>
        <s v="Abranatal Lysoprosate" u="1"/>
        <s v="Acantaine" u="1"/>
        <s v="Acelimus" u="1"/>
        <s v="Aciprex" u="1"/>
        <s v="Aclonuma" u="1"/>
        <s v="Adalatamine" u="1"/>
        <s v="Adideine" u="1"/>
        <s v="Adrecetam Barazoxane" u="1"/>
        <s v="Adriacaine" u="1"/>
        <s v="Adriafinil Ehtymara" u="1"/>
        <s v="Adtiza Gammaluble" u="1"/>
        <s v="Afaxacin" u="1"/>
        <s v="Afinitasol" u="1"/>
        <s v="Afretosine" u="1"/>
        <s v="Agalsiline" u="1"/>
        <s v="Aggretisol" u="1"/>
        <s v="Aldevac" u="1"/>
        <s v="Algluconium Dorzofoxin" u="1"/>
        <s v="Alglutriptan" u="1"/>
        <s v="Alimmethate Insudase" u="1"/>
        <s v="Alisteride Pemidizem" u="1"/>
        <s v="Amamadin" u="1"/>
        <s v="Amavirase" u="1"/>
        <s v="Amphesirox" u="1"/>
        <s v="Ampinonide" u="1"/>
        <s v="Ampysin" u="1"/>
        <s v="Androporin" u="1"/>
        <s v="Angioparin Brimosumab" u="1"/>
        <s v="Antilamin Clinbital" u="1"/>
        <s v="Aprerase" u="1"/>
        <s v="Aquamycin Lacoran" u="1"/>
        <s v="Argalazine Abostryl" u="1"/>
        <s v="Aspinavir Silovance" u="1"/>
        <s v="Atomorelin" u="1"/>
        <s v="Atrabicin Alkerotec" u="1"/>
        <s v="Benzoprox" u="1"/>
        <s v="Biotasol Siloderm" u="1"/>
        <s v="Cephovelam" u="1"/>
        <s v="Ceretosine" u="1"/>
        <s v="Choriogestrel" u="1"/>
        <s v="Choriotrisin" u="1"/>
        <s v="Ciclonazol" u="1"/>
        <s v="Claricriptine Adaferol" u="1"/>
        <s v="Clindaracil" u="1"/>
        <s v="Clinolan Pitoletra" u="1"/>
        <s v="Comzyme" u="1"/>
        <s v="Cricane Acamsumab" u="1"/>
        <s v="Dantocept Ferurenone" u="1"/>
        <s v="Decidenu Galantrigine" u="1"/>
        <s v="Diaxolol" u="1"/>
        <s v="Diprolimus" u="1"/>
        <s v="Diprotaine" u="1"/>
        <s v="Dorzovorin Pentadarone" u="1"/>
        <s v="Doxivorin" u="1"/>
        <s v="Enzastryl" u="1"/>
        <s v="Eproline" u="1"/>
        <s v="Epzipitant" u="1"/>
        <s v="Ergomethate" u="1"/>
        <s v="Exotropin Empizine" u="1"/>
        <s v="Factofribrate" u="1"/>
        <s v="Finanel" u="1"/>
        <s v="Fosinofen" u="1"/>
        <s v="Ganineva Agenium" u="1"/>
        <s v="Hepavice" u="1"/>
        <s v="Imiderm Vibranovate" u="1"/>
        <s v="Imiformin Transmunex" u="1"/>
        <s v="Immurenol Temarate" u="1"/>
        <s v="Insozyme" u="1"/>
        <s v="Interfeferon Aspipex" u="1"/>
        <s v="Ketastadil" u="1"/>
        <s v="Kinenadryl" u="1"/>
        <s v="Kiovax Tercorolac" u="1"/>
        <s v="Lacoplex Hyaluvance" u="1"/>
        <s v="Lansopril Acribax" u="1"/>
        <s v="Lansostral Acgestin" u="1"/>
        <s v="Lioletine Refliruvax" u="1"/>
        <s v="Magneprex" u="1"/>
        <s v="Malavirine Alimdine" u="1"/>
        <s v="Malaxolol Aeroprosyn" u="1"/>
        <s v="Megenorphine" u="1"/>
        <s v="Menogine" u="1"/>
        <s v="Methiclotide" u="1"/>
        <s v="Neuropogen Empibax" u="1"/>
        <s v="Nevanide Actozide" u="1"/>
        <s v="Novakyn Tracprox" u="1"/>
        <s v="Oxymotroban Fexoformin" u="1"/>
        <s v="Palodizem" u="1"/>
        <s v="Paronium Atracustone" u="1"/>
        <s v="Pazofenac" u="1"/>
        <s v="Penitrana" u="1"/>
        <s v="Pitodomide" u="1"/>
        <s v="Proderal" u="1"/>
        <s v="Propralamide Dexlanzolam" u="1"/>
        <s v="Propratecan" u="1"/>
        <s v="Pulmofine" u="1"/>
        <s v="Quiniprosyn" u="1"/>
        <s v="Ranediol" u="1"/>
        <s v="Raparidol" u="1"/>
        <s v="Relenstrel Exurabine" u="1"/>
        <s v="Relenvice" u="1"/>
        <s v="Requimadin" u="1"/>
        <s v="Saprodeine Zanprosyn" u="1"/>
        <s v="Sevoderm" u="1"/>
        <s v="Solasteride" u="1"/>
        <s v="Stelazolid" u="1"/>
        <s v="Sucprine Specbalamin" u="1"/>
        <s v="Symbiroban" u="1"/>
        <s v="Symbitrim" u="1"/>
        <s v="Tacrodomide" u="1"/>
        <s v="Temasone Thiobucil" u="1"/>
        <s v="Testant" u="1"/>
        <s v="Theopril" u="1"/>
        <s v="Thionide" u="1"/>
        <s v="Topipizole" u="1"/>
        <s v="Tracdomide" u="1"/>
        <s v="Travoloride" u="1"/>
        <s v="Travosoline Capolac" u="1"/>
        <s v="Trazozaprine" u="1"/>
        <s v="Ultrimax Ultriset" u="1"/>
        <s v="Victomine" u="1"/>
        <s v="Xenaderal" u="1"/>
        <s v="Zarostral" u="1"/>
        <s v="Zithrotrol" u="1"/>
        <s v="Zonixamine Immulinum" u="1"/>
        <s v="Zyvance" u="1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DAEZE JENNIFER" refreshedDate="46132.482181018517" createdVersion="5" refreshedVersion="8" minRefreshableVersion="3" recordCount="0" supportSubquery="1" supportAdvancedDrill="1">
  <cacheSource type="external" connectionId="2"/>
  <cacheFields count="2">
    <cacheField name="[Sheet1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tag="9b687886-ed3c-4ca3-9f8b-8cc64742edb9" updatedVersion="8" minRefreshableVersion="3" useAutoFormatting="1" itemPrintTitles="1" createdVersion="5" indent="0" outline="1" outlineData="1" multipleFieldFilters="0" chartFormat="74" rowHeaderCaption="Country">
  <location ref="B5:C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Sales" fld="1" baseField="0" baseItem="0" numFmtId="165"/>
  </dataFields>
  <formats count="2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</formats>
  <chartFormats count="1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tag="3f6aabea-c947-4f67-aa1a-f483d330e127" updatedVersion="8" minRefreshableVersion="3" useAutoFormatting="1" subtotalHiddenItems="1" itemPrintTitles="1" createdVersion="5" indent="0" outline="1" outlineData="1" multipleFieldFilters="0" chartFormat="33" rowHeaderCaption="Product Name">
  <location ref="B5:C16" firstHeaderRow="1" firstDataRow="1" firstDataCol="1"/>
  <pivotFields count="2">
    <pivotField axis="axisRow" allDrilled="1" subtotalTop="0" showAll="0" measureFilter="1" sortType="a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3"/>
    </i>
    <i>
      <x v="1"/>
    </i>
    <i>
      <x v="9"/>
    </i>
    <i>
      <x v="7"/>
    </i>
    <i>
      <x v="2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Sales Revenue" fld="1" baseField="0" baseItem="0" numFmtId="165"/>
  </dataFields>
  <formats count="34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9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8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1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0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23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22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5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14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tag="4f1d5c12-57ee-4f9a-bc96-28fc56e4c170" updatedVersion="8" minRefreshableVersion="3" useAutoFormatting="1" subtotalHiddenItems="1" itemPrintTitles="1" createdVersion="5" indent="0" outline="1" outlineData="1" multipleFieldFilters="0" chartFormat="29" rowHeaderCaption="Month">
  <location ref="B28:C41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Revenue" fld="1" baseField="0" baseItem="0" numFmtId="165"/>
  </dataFields>
  <formats count="39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0" type="button" dataOnly="0" labelOnly="1" outline="0" axis="axisRow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collapsedLevelsAreSubtotals="1" fieldPosition="0">
        <references count="1">
          <reference field="0" count="1">
            <x v="11"/>
          </reference>
        </references>
      </pivotArea>
    </format>
    <format dxfId="54">
      <pivotArea collapsedLevelsAreSubtotals="1" fieldPosition="0">
        <references count="1">
          <reference field="0" count="1">
            <x v="1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tag="5068286e-9ad8-4eac-b5f1-d7936f0dec03" updatedVersion="8" minRefreshableVersion="3" useAutoFormatting="1" subtotalHiddenItems="1" itemPrintTitles="1" createdVersion="5" indent="0" outline="1" outlineData="1" multipleFieldFilters="0" chartFormat="61" rowHeaderCaption="Year">
  <location ref="B4:C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 Revenue" fld="1" baseField="0" baseItem="0"/>
  </dataFields>
  <formats count="23"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collapsedLevelsAreSubtotals="1" fieldPosition="0">
        <references count="1">
          <reference field="0" count="0"/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0" count="0"/>
        </references>
      </pivotArea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outline="0" axis="axisValues" fieldPosition="0"/>
    </format>
    <format dxfId="88">
      <pivotArea collapsedLevelsAreSubtotals="1" fieldPosition="0">
        <references count="1">
          <reference field="0" count="0"/>
        </references>
      </pivotArea>
    </format>
    <format dxfId="87">
      <pivotArea dataOnly="0" labelOnly="1" outline="0" axis="axisValues" fieldPosition="0"/>
    </format>
  </formats>
  <chartFormats count="1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tag="df1cf884-667b-41f4-93ce-f1d217e6840c" updatedVersion="8" minRefreshableVersion="3" useAutoFormatting="1" subtotalHiddenItems="1" itemPrintTitles="1" createdVersion="5" indent="0" outline="1" outlineData="1" multipleFieldFilters="0" rowHeaderCaption="Products">
  <location ref="B6:C143" firstHeaderRow="1" firstDataRow="1" firstDataCol="1"/>
  <pivotFields count="2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7">
    <i>
      <x v="108"/>
    </i>
    <i>
      <x v="50"/>
    </i>
    <i>
      <x v="120"/>
    </i>
    <i>
      <x v="87"/>
    </i>
    <i>
      <x v="79"/>
    </i>
    <i>
      <x v="112"/>
    </i>
    <i>
      <x v="127"/>
    </i>
    <i>
      <x v="71"/>
    </i>
    <i>
      <x v="80"/>
    </i>
    <i>
      <x v="93"/>
    </i>
    <i>
      <x v="58"/>
    </i>
    <i>
      <x v="51"/>
    </i>
    <i>
      <x v="126"/>
    </i>
    <i>
      <x v="124"/>
    </i>
    <i>
      <x v="66"/>
    </i>
    <i>
      <x v="135"/>
    </i>
    <i>
      <x v="59"/>
    </i>
    <i>
      <x v="77"/>
    </i>
    <i>
      <x v="2"/>
    </i>
    <i>
      <x v="37"/>
    </i>
    <i>
      <x v="60"/>
    </i>
    <i>
      <x v="22"/>
    </i>
    <i>
      <x v="116"/>
    </i>
    <i>
      <x v="5"/>
    </i>
    <i>
      <x v="13"/>
    </i>
    <i>
      <x v="35"/>
    </i>
    <i>
      <x v="91"/>
    </i>
    <i>
      <x v="134"/>
    </i>
    <i>
      <x v="103"/>
    </i>
    <i>
      <x v="90"/>
    </i>
    <i>
      <x v="18"/>
    </i>
    <i>
      <x v="109"/>
    </i>
    <i>
      <x v="62"/>
    </i>
    <i>
      <x v="48"/>
    </i>
    <i>
      <x v="6"/>
    </i>
    <i>
      <x v="125"/>
    </i>
    <i>
      <x v="55"/>
    </i>
    <i>
      <x v="85"/>
    </i>
    <i>
      <x v="23"/>
    </i>
    <i>
      <x v="9"/>
    </i>
    <i>
      <x v="128"/>
    </i>
    <i>
      <x v="101"/>
    </i>
    <i>
      <x v="41"/>
    </i>
    <i>
      <x v="52"/>
    </i>
    <i>
      <x v="20"/>
    </i>
    <i>
      <x v="131"/>
    </i>
    <i>
      <x v="32"/>
    </i>
    <i>
      <x v="129"/>
    </i>
    <i>
      <x v="10"/>
    </i>
    <i>
      <x v="69"/>
    </i>
    <i>
      <x v="61"/>
    </i>
    <i>
      <x v="73"/>
    </i>
    <i>
      <x v="82"/>
    </i>
    <i>
      <x v="106"/>
    </i>
    <i>
      <x v="107"/>
    </i>
    <i>
      <x v="39"/>
    </i>
    <i>
      <x v="11"/>
    </i>
    <i>
      <x v="89"/>
    </i>
    <i>
      <x v="118"/>
    </i>
    <i>
      <x v="33"/>
    </i>
    <i>
      <x v="26"/>
    </i>
    <i>
      <x v="30"/>
    </i>
    <i>
      <x v="74"/>
    </i>
    <i>
      <x v="78"/>
    </i>
    <i>
      <x v="40"/>
    </i>
    <i>
      <x v="7"/>
    </i>
    <i>
      <x v="110"/>
    </i>
    <i>
      <x v="27"/>
    </i>
    <i>
      <x v="88"/>
    </i>
    <i>
      <x v="3"/>
    </i>
    <i>
      <x v="76"/>
    </i>
    <i>
      <x v="94"/>
    </i>
    <i>
      <x v="133"/>
    </i>
    <i>
      <x v="95"/>
    </i>
    <i>
      <x v="99"/>
    </i>
    <i>
      <x v="57"/>
    </i>
    <i>
      <x v="63"/>
    </i>
    <i>
      <x v="123"/>
    </i>
    <i>
      <x v="130"/>
    </i>
    <i>
      <x v="4"/>
    </i>
    <i>
      <x v="70"/>
    </i>
    <i>
      <x v="28"/>
    </i>
    <i>
      <x v="100"/>
    </i>
    <i>
      <x v="1"/>
    </i>
    <i>
      <x v="75"/>
    </i>
    <i>
      <x v="67"/>
    </i>
    <i>
      <x v="96"/>
    </i>
    <i>
      <x v="64"/>
    </i>
    <i>
      <x v="81"/>
    </i>
    <i>
      <x v="19"/>
    </i>
    <i>
      <x v="54"/>
    </i>
    <i>
      <x v="49"/>
    </i>
    <i>
      <x v="31"/>
    </i>
    <i>
      <x/>
    </i>
    <i>
      <x v="38"/>
    </i>
    <i>
      <x v="14"/>
    </i>
    <i>
      <x v="111"/>
    </i>
    <i>
      <x v="121"/>
    </i>
    <i>
      <x v="72"/>
    </i>
    <i>
      <x v="102"/>
    </i>
    <i>
      <x v="29"/>
    </i>
    <i>
      <x v="45"/>
    </i>
    <i>
      <x v="15"/>
    </i>
    <i>
      <x v="105"/>
    </i>
    <i>
      <x v="115"/>
    </i>
    <i>
      <x v="122"/>
    </i>
    <i>
      <x v="34"/>
    </i>
    <i>
      <x v="114"/>
    </i>
    <i>
      <x v="83"/>
    </i>
    <i>
      <x v="25"/>
    </i>
    <i>
      <x v="119"/>
    </i>
    <i>
      <x v="53"/>
    </i>
    <i>
      <x v="86"/>
    </i>
    <i>
      <x v="65"/>
    </i>
    <i>
      <x v="12"/>
    </i>
    <i>
      <x v="97"/>
    </i>
    <i>
      <x v="16"/>
    </i>
    <i>
      <x v="43"/>
    </i>
    <i>
      <x v="46"/>
    </i>
    <i>
      <x v="36"/>
    </i>
    <i>
      <x v="132"/>
    </i>
    <i>
      <x v="42"/>
    </i>
    <i>
      <x v="117"/>
    </i>
    <i>
      <x v="84"/>
    </i>
    <i>
      <x v="92"/>
    </i>
    <i>
      <x v="21"/>
    </i>
    <i>
      <x v="98"/>
    </i>
    <i>
      <x v="8"/>
    </i>
    <i>
      <x v="17"/>
    </i>
    <i>
      <x v="56"/>
    </i>
    <i>
      <x v="44"/>
    </i>
    <i>
      <x v="24"/>
    </i>
    <i>
      <x v="113"/>
    </i>
    <i>
      <x v="47"/>
    </i>
    <i>
      <x v="104"/>
    </i>
    <i>
      <x v="68"/>
    </i>
    <i t="grand">
      <x/>
    </i>
  </rowItems>
  <colItems count="1">
    <i/>
  </colItems>
  <dataFields count="1">
    <dataField name="Sum of Sales Revenue" fld="1" baseField="0" baseItem="0" numFmtId="165"/>
  </dataFields>
  <formats count="4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43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42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35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34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27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26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8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0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tag="a40e72e5-41b1-467e-a1be-c22cf5036d33" updatedVersion="8" minRefreshableVersion="3" useAutoFormatting="1" itemPrintTitles="1" createdVersion="5" indent="0" outline="1" outlineData="1" multipleFieldFilters="0">
  <location ref="B21:B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 Valu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 Value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Month" tableColumnId="13"/>
      <queryTableField id="14" name="Year" tableColumnId="14"/>
      <queryTableField id="15" name="Name of Sales Rep" tableColumnId="15"/>
      <queryTableField id="16" name="Manager" tableColumnId="16"/>
      <queryTableField id="17" name="Sales Team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R193" tableType="queryTable" totalsRowShown="0">
  <autoFilter ref="A1:R193"/>
  <tableColumns count="18">
    <tableColumn id="1" uniqueName="1" name="Distributor" queryTableFieldId="1" dataDxfId="184"/>
    <tableColumn id="2" uniqueName="2" name="Customer Name" queryTableFieldId="2" dataDxfId="183"/>
    <tableColumn id="3" uniqueName="3" name="City" queryTableFieldId="3" dataDxfId="182"/>
    <tableColumn id="4" uniqueName="4" name="Country" queryTableFieldId="4" dataDxfId="181"/>
    <tableColumn id="5" uniqueName="5" name="Latitude" queryTableFieldId="5"/>
    <tableColumn id="6" uniqueName="6" name="Longitude" queryTableFieldId="6"/>
    <tableColumn id="7" uniqueName="7" name="Channel" queryTableFieldId="7" dataDxfId="180"/>
    <tableColumn id="8" uniqueName="8" name="Sub-channel" queryTableFieldId="8" dataDxfId="179"/>
    <tableColumn id="9" uniqueName="9" name="Product Name" queryTableFieldId="9" dataDxfId="178"/>
    <tableColumn id="10" uniqueName="10" name="Product Class" queryTableFieldId="10" dataDxfId="177"/>
    <tableColumn id="11" uniqueName="11" name="Quantity" queryTableFieldId="11"/>
    <tableColumn id="12" uniqueName="12" name="Price" queryTableFieldId="12" dataDxfId="176" dataCellStyle="Currency"/>
    <tableColumn id="13" uniqueName="13" name="Month" queryTableFieldId="13" dataDxfId="175"/>
    <tableColumn id="14" uniqueName="14" name="Year" queryTableFieldId="14"/>
    <tableColumn id="15" uniqueName="15" name="Name of Sales Rep" queryTableFieldId="15" dataDxfId="174"/>
    <tableColumn id="16" uniqueName="16" name="Manager" queryTableFieldId="16" dataDxfId="173"/>
    <tableColumn id="17" uniqueName="17" name="Sales Team" queryTableFieldId="17" dataDxfId="172"/>
    <tableColumn id="18" uniqueName="18" name="Sales Revenue" queryTableFieldId="18" dataDxfId="171">
      <calculatedColumnFormula>Sheet1[[#This Row],[Price]]*Sheet1[[#This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U195:V196" totalsRowShown="0">
  <autoFilter ref="U195:V196"/>
  <tableColumns count="2">
    <tableColumn id="1" name="ITEM"/>
    <tableColumn id="2" name="PRICE" dataDxfId="170">
      <calculatedColumnFormula>SUM(R2:R193)/SUM(K2:K193)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D145:F147" headerRowDxfId="5" dataDxfId="4" totalsRowDxfId="3">
  <autoFilter ref="D145:F147"/>
  <tableColumns count="3">
    <tableColumn id="1" name="ITEMS" dataDxfId="2"/>
    <tableColumn id="2" name="TOP PRODUCT" dataDxfId="1">
      <calculatedColumnFormula>MAX(C6:C141)</calculatedColumnFormula>
    </tableColumn>
    <tableColumn id="3" name="BOTTOM PRODUCT" dataDxfId="0">
      <calculatedColumnFormula>MIN(C6:C141)</calculatedColumnFormula>
    </tableColumn>
  </tableColumns>
  <tableStyleInfo name="TableStyleLight20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ow Edge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6"/>
  <sheetViews>
    <sheetView topLeftCell="I179" workbookViewId="0">
      <selection activeCell="S23" sqref="S23"/>
    </sheetView>
  </sheetViews>
  <sheetFormatPr defaultRowHeight="14.5" x14ac:dyDescent="0.35"/>
  <cols>
    <col min="1" max="1" width="20.7265625" customWidth="1"/>
    <col min="2" max="2" width="56.54296875" customWidth="1"/>
    <col min="3" max="3" width="24" customWidth="1"/>
    <col min="4" max="4" width="10.26953125" customWidth="1"/>
    <col min="5" max="5" width="10.54296875" customWidth="1"/>
    <col min="6" max="6" width="12.1796875" customWidth="1"/>
    <col min="7" max="7" width="10.54296875" customWidth="1"/>
    <col min="8" max="8" width="14.26953125" customWidth="1"/>
    <col min="9" max="9" width="25.26953125" customWidth="1"/>
    <col min="10" max="10" width="15.81640625" customWidth="1"/>
    <col min="11" max="11" width="11.1796875" customWidth="1"/>
    <col min="12" max="12" width="9.453125" style="1" customWidth="1"/>
    <col min="13" max="13" width="9.26953125" customWidth="1"/>
    <col min="14" max="14" width="7.26953125" customWidth="1"/>
    <col min="15" max="15" width="20" customWidth="1"/>
    <col min="16" max="16" width="15" customWidth="1"/>
    <col min="17" max="17" width="13.1796875" customWidth="1"/>
    <col min="18" max="18" width="16.26953125" bestFit="1" customWidth="1"/>
    <col min="19" max="19" width="11" bestFit="1" customWidth="1"/>
    <col min="21" max="21" width="22.54296875" bestFit="1" customWidth="1"/>
    <col min="22" max="22" width="12.4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5">
      <c r="A2" t="s">
        <v>18</v>
      </c>
      <c r="B2" t="s">
        <v>19</v>
      </c>
      <c r="C2" t="s">
        <v>20</v>
      </c>
      <c r="D2" t="s">
        <v>21</v>
      </c>
      <c r="E2">
        <v>51.23</v>
      </c>
      <c r="F2">
        <v>22.57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 s="1">
        <v>368</v>
      </c>
      <c r="M2" t="s">
        <v>26</v>
      </c>
      <c r="N2">
        <v>2018</v>
      </c>
      <c r="O2" t="s">
        <v>27</v>
      </c>
      <c r="P2" t="s">
        <v>28</v>
      </c>
      <c r="Q2" t="s">
        <v>29</v>
      </c>
      <c r="R2" s="9">
        <f>Sheet1[[#This Row],[Price]]*Sheet1[[#This Row],[Quantity]]</f>
        <v>1472</v>
      </c>
    </row>
    <row r="3" spans="1:19" x14ac:dyDescent="0.35">
      <c r="A3" t="s">
        <v>18</v>
      </c>
      <c r="B3" t="s">
        <v>30</v>
      </c>
      <c r="C3" t="s">
        <v>31</v>
      </c>
      <c r="D3" t="s">
        <v>21</v>
      </c>
      <c r="E3">
        <v>53.42</v>
      </c>
      <c r="F3">
        <v>18.43</v>
      </c>
      <c r="G3" t="s">
        <v>32</v>
      </c>
      <c r="H3" t="s">
        <v>33</v>
      </c>
      <c r="I3" t="s">
        <v>34</v>
      </c>
      <c r="J3" t="s">
        <v>35</v>
      </c>
      <c r="K3">
        <v>7</v>
      </c>
      <c r="L3" s="1">
        <v>591</v>
      </c>
      <c r="M3" t="s">
        <v>26</v>
      </c>
      <c r="N3">
        <v>2018</v>
      </c>
      <c r="O3" t="s">
        <v>36</v>
      </c>
      <c r="P3" t="s">
        <v>28</v>
      </c>
      <c r="Q3" t="s">
        <v>29</v>
      </c>
      <c r="R3" s="9">
        <f>Sheet1[[#This Row],[Price]]*Sheet1[[#This Row],[Quantity]]</f>
        <v>4137</v>
      </c>
    </row>
    <row r="4" spans="1:19" x14ac:dyDescent="0.35">
      <c r="A4" t="s">
        <v>18</v>
      </c>
      <c r="B4" t="s">
        <v>37</v>
      </c>
      <c r="C4" t="s">
        <v>38</v>
      </c>
      <c r="D4" t="s">
        <v>21</v>
      </c>
      <c r="E4">
        <v>50.08</v>
      </c>
      <c r="F4">
        <v>18.5</v>
      </c>
      <c r="G4" t="s">
        <v>32</v>
      </c>
      <c r="H4" t="s">
        <v>39</v>
      </c>
      <c r="I4" t="s">
        <v>40</v>
      </c>
      <c r="J4" t="s">
        <v>35</v>
      </c>
      <c r="K4">
        <v>30</v>
      </c>
      <c r="L4" s="1">
        <v>66</v>
      </c>
      <c r="M4" t="s">
        <v>26</v>
      </c>
      <c r="N4">
        <v>2018</v>
      </c>
      <c r="O4" t="s">
        <v>41</v>
      </c>
      <c r="P4" t="s">
        <v>42</v>
      </c>
      <c r="Q4" t="s">
        <v>43</v>
      </c>
      <c r="R4" s="9">
        <f>Sheet1[[#This Row],[Price]]*Sheet1[[#This Row],[Quantity]]</f>
        <v>1980</v>
      </c>
    </row>
    <row r="5" spans="1:19" x14ac:dyDescent="0.35">
      <c r="A5" t="s">
        <v>18</v>
      </c>
      <c r="B5" t="s">
        <v>44</v>
      </c>
      <c r="C5" t="s">
        <v>45</v>
      </c>
      <c r="D5" t="s">
        <v>21</v>
      </c>
      <c r="E5">
        <v>50.33</v>
      </c>
      <c r="F5">
        <v>19.079999999999998</v>
      </c>
      <c r="G5" t="s">
        <v>22</v>
      </c>
      <c r="H5" t="s">
        <v>23</v>
      </c>
      <c r="I5" t="s">
        <v>46</v>
      </c>
      <c r="J5" t="s">
        <v>47</v>
      </c>
      <c r="K5">
        <v>6</v>
      </c>
      <c r="L5" s="1">
        <v>435</v>
      </c>
      <c r="M5" t="s">
        <v>26</v>
      </c>
      <c r="N5">
        <v>2018</v>
      </c>
      <c r="O5" t="s">
        <v>27</v>
      </c>
      <c r="P5" t="s">
        <v>28</v>
      </c>
      <c r="Q5" t="s">
        <v>29</v>
      </c>
      <c r="R5" s="9">
        <f>Sheet1[[#This Row],[Price]]*Sheet1[[#This Row],[Quantity]]</f>
        <v>2610</v>
      </c>
    </row>
    <row r="6" spans="1:19" x14ac:dyDescent="0.35">
      <c r="A6" t="s">
        <v>18</v>
      </c>
      <c r="B6" t="s">
        <v>48</v>
      </c>
      <c r="C6" t="s">
        <v>49</v>
      </c>
      <c r="D6" t="s">
        <v>21</v>
      </c>
      <c r="E6">
        <v>53.78</v>
      </c>
      <c r="F6">
        <v>20.49</v>
      </c>
      <c r="G6" t="s">
        <v>32</v>
      </c>
      <c r="H6" t="s">
        <v>33</v>
      </c>
      <c r="I6" t="s">
        <v>50</v>
      </c>
      <c r="J6" t="s">
        <v>47</v>
      </c>
      <c r="K6">
        <v>20</v>
      </c>
      <c r="L6" s="1">
        <v>458</v>
      </c>
      <c r="M6" t="s">
        <v>51</v>
      </c>
      <c r="N6">
        <v>2018</v>
      </c>
      <c r="O6" t="s">
        <v>52</v>
      </c>
      <c r="P6" t="s">
        <v>28</v>
      </c>
      <c r="Q6" t="s">
        <v>29</v>
      </c>
      <c r="R6" s="9">
        <f>Sheet1[[#This Row],[Price]]*Sheet1[[#This Row],[Quantity]]</f>
        <v>9160</v>
      </c>
    </row>
    <row r="7" spans="1:19" x14ac:dyDescent="0.35">
      <c r="A7" t="s">
        <v>18</v>
      </c>
      <c r="B7" t="s">
        <v>53</v>
      </c>
      <c r="C7" t="s">
        <v>54</v>
      </c>
      <c r="D7" t="s">
        <v>21</v>
      </c>
      <c r="E7">
        <v>54.03</v>
      </c>
      <c r="F7">
        <v>22.5</v>
      </c>
      <c r="G7" t="s">
        <v>22</v>
      </c>
      <c r="H7" t="s">
        <v>23</v>
      </c>
      <c r="I7" t="s">
        <v>55</v>
      </c>
      <c r="J7" t="s">
        <v>25</v>
      </c>
      <c r="K7">
        <v>5</v>
      </c>
      <c r="L7" s="1">
        <v>123</v>
      </c>
      <c r="M7" t="s">
        <v>56</v>
      </c>
      <c r="N7">
        <v>2018</v>
      </c>
      <c r="O7" t="s">
        <v>57</v>
      </c>
      <c r="P7" t="s">
        <v>58</v>
      </c>
      <c r="Q7" t="s">
        <v>59</v>
      </c>
      <c r="R7" s="9">
        <f>Sheet1[[#This Row],[Price]]*Sheet1[[#This Row],[Quantity]]</f>
        <v>615</v>
      </c>
    </row>
    <row r="8" spans="1:19" x14ac:dyDescent="0.35">
      <c r="A8" t="s">
        <v>18</v>
      </c>
      <c r="B8" t="s">
        <v>60</v>
      </c>
      <c r="C8" t="s">
        <v>61</v>
      </c>
      <c r="D8" t="s">
        <v>21</v>
      </c>
      <c r="E8">
        <v>52.8</v>
      </c>
      <c r="F8">
        <v>18.260000000000002</v>
      </c>
      <c r="G8" t="s">
        <v>32</v>
      </c>
      <c r="H8" t="s">
        <v>33</v>
      </c>
      <c r="I8" t="s">
        <v>62</v>
      </c>
      <c r="J8" t="s">
        <v>47</v>
      </c>
      <c r="K8">
        <v>20</v>
      </c>
      <c r="L8" s="1">
        <v>536</v>
      </c>
      <c r="M8" t="s">
        <v>26</v>
      </c>
      <c r="N8">
        <v>2018</v>
      </c>
      <c r="O8" t="s">
        <v>63</v>
      </c>
      <c r="P8" t="s">
        <v>28</v>
      </c>
      <c r="Q8" t="s">
        <v>29</v>
      </c>
      <c r="R8" s="9">
        <f>Sheet1[[#This Row],[Price]]*Sheet1[[#This Row],[Quantity]]</f>
        <v>10720</v>
      </c>
    </row>
    <row r="9" spans="1:19" x14ac:dyDescent="0.35">
      <c r="A9" t="s">
        <v>18</v>
      </c>
      <c r="B9" t="s">
        <v>64</v>
      </c>
      <c r="C9" t="s">
        <v>65</v>
      </c>
      <c r="D9" t="s">
        <v>21</v>
      </c>
      <c r="E9">
        <v>52.88</v>
      </c>
      <c r="F9">
        <v>20.61</v>
      </c>
      <c r="G9" t="s">
        <v>32</v>
      </c>
      <c r="H9" t="s">
        <v>33</v>
      </c>
      <c r="I9" t="s">
        <v>66</v>
      </c>
      <c r="J9" t="s">
        <v>25</v>
      </c>
      <c r="K9">
        <v>5</v>
      </c>
      <c r="L9" s="1">
        <v>742</v>
      </c>
      <c r="M9" t="s">
        <v>26</v>
      </c>
      <c r="N9">
        <v>2018</v>
      </c>
      <c r="O9" t="s">
        <v>27</v>
      </c>
      <c r="P9" t="s">
        <v>28</v>
      </c>
      <c r="Q9" t="s">
        <v>29</v>
      </c>
      <c r="R9" s="9">
        <f>Sheet1[[#This Row],[Price]]*Sheet1[[#This Row],[Quantity]]</f>
        <v>3710</v>
      </c>
      <c r="S9" s="9"/>
    </row>
    <row r="10" spans="1:19" x14ac:dyDescent="0.35">
      <c r="A10" t="s">
        <v>18</v>
      </c>
      <c r="B10" t="s">
        <v>67</v>
      </c>
      <c r="C10" t="s">
        <v>68</v>
      </c>
      <c r="D10" t="s">
        <v>21</v>
      </c>
      <c r="E10">
        <v>53.36</v>
      </c>
      <c r="F10">
        <v>20.43</v>
      </c>
      <c r="G10" t="s">
        <v>22</v>
      </c>
      <c r="H10" t="s">
        <v>23</v>
      </c>
      <c r="I10" t="s">
        <v>69</v>
      </c>
      <c r="J10" t="s">
        <v>25</v>
      </c>
      <c r="K10">
        <v>4</v>
      </c>
      <c r="L10" s="1">
        <v>551</v>
      </c>
      <c r="M10" t="s">
        <v>26</v>
      </c>
      <c r="N10">
        <v>2018</v>
      </c>
      <c r="O10" t="s">
        <v>70</v>
      </c>
      <c r="P10" t="s">
        <v>71</v>
      </c>
      <c r="Q10" t="s">
        <v>72</v>
      </c>
      <c r="R10" s="9">
        <f>Sheet1[[#This Row],[Price]]*Sheet1[[#This Row],[Quantity]]</f>
        <v>2204</v>
      </c>
    </row>
    <row r="11" spans="1:19" x14ac:dyDescent="0.35">
      <c r="A11" t="s">
        <v>18</v>
      </c>
      <c r="B11" t="s">
        <v>73</v>
      </c>
      <c r="C11" t="s">
        <v>74</v>
      </c>
      <c r="D11" t="s">
        <v>21</v>
      </c>
      <c r="E11">
        <v>50.06</v>
      </c>
      <c r="F11">
        <v>19.940000000000001</v>
      </c>
      <c r="G11" t="s">
        <v>22</v>
      </c>
      <c r="H11" t="s">
        <v>23</v>
      </c>
      <c r="I11" t="s">
        <v>75</v>
      </c>
      <c r="J11" t="s">
        <v>47</v>
      </c>
      <c r="K11">
        <v>10</v>
      </c>
      <c r="L11" s="1">
        <v>243</v>
      </c>
      <c r="M11" t="s">
        <v>26</v>
      </c>
      <c r="N11">
        <v>2018</v>
      </c>
      <c r="O11" t="s">
        <v>76</v>
      </c>
      <c r="P11" t="s">
        <v>42</v>
      </c>
      <c r="Q11" t="s">
        <v>43</v>
      </c>
      <c r="R11" s="9">
        <f>Sheet1[[#This Row],[Price]]*Sheet1[[#This Row],[Quantity]]</f>
        <v>2430</v>
      </c>
    </row>
    <row r="12" spans="1:19" x14ac:dyDescent="0.35">
      <c r="A12" t="s">
        <v>18</v>
      </c>
      <c r="B12" t="s">
        <v>77</v>
      </c>
      <c r="C12" t="s">
        <v>78</v>
      </c>
      <c r="D12" t="s">
        <v>21</v>
      </c>
      <c r="E12">
        <v>51.95</v>
      </c>
      <c r="F12">
        <v>14.73</v>
      </c>
      <c r="G12" t="s">
        <v>22</v>
      </c>
      <c r="H12" t="s">
        <v>79</v>
      </c>
      <c r="I12" t="s">
        <v>80</v>
      </c>
      <c r="J12" t="s">
        <v>25</v>
      </c>
      <c r="K12">
        <v>35</v>
      </c>
      <c r="L12" s="1">
        <v>762</v>
      </c>
      <c r="M12" t="s">
        <v>81</v>
      </c>
      <c r="N12">
        <v>2018</v>
      </c>
      <c r="O12" t="s">
        <v>82</v>
      </c>
      <c r="P12" t="s">
        <v>58</v>
      </c>
      <c r="Q12" t="s">
        <v>59</v>
      </c>
      <c r="R12" s="9">
        <f>Sheet1[[#This Row],[Price]]*Sheet1[[#This Row],[Quantity]]</f>
        <v>26670</v>
      </c>
    </row>
    <row r="13" spans="1:19" x14ac:dyDescent="0.35">
      <c r="A13" t="s">
        <v>18</v>
      </c>
      <c r="B13" t="s">
        <v>83</v>
      </c>
      <c r="C13" t="s">
        <v>84</v>
      </c>
      <c r="D13" t="s">
        <v>21</v>
      </c>
      <c r="E13">
        <v>52.8</v>
      </c>
      <c r="F13">
        <v>21.9</v>
      </c>
      <c r="G13" t="s">
        <v>32</v>
      </c>
      <c r="H13" t="s">
        <v>39</v>
      </c>
      <c r="I13" t="s">
        <v>85</v>
      </c>
      <c r="J13" t="s">
        <v>86</v>
      </c>
      <c r="K13">
        <v>4</v>
      </c>
      <c r="L13" s="1">
        <v>249</v>
      </c>
      <c r="M13" t="s">
        <v>26</v>
      </c>
      <c r="N13">
        <v>2018</v>
      </c>
      <c r="O13" t="s">
        <v>87</v>
      </c>
      <c r="P13" t="s">
        <v>42</v>
      </c>
      <c r="Q13" t="s">
        <v>43</v>
      </c>
      <c r="R13" s="9">
        <f>Sheet1[[#This Row],[Price]]*Sheet1[[#This Row],[Quantity]]</f>
        <v>996</v>
      </c>
    </row>
    <row r="14" spans="1:19" x14ac:dyDescent="0.35">
      <c r="A14" t="s">
        <v>18</v>
      </c>
      <c r="B14" t="s">
        <v>88</v>
      </c>
      <c r="C14" t="s">
        <v>89</v>
      </c>
      <c r="D14" t="s">
        <v>21</v>
      </c>
      <c r="E14">
        <v>51.4</v>
      </c>
      <c r="F14">
        <v>21.16</v>
      </c>
      <c r="G14" t="s">
        <v>22</v>
      </c>
      <c r="H14" t="s">
        <v>23</v>
      </c>
      <c r="I14" t="s">
        <v>90</v>
      </c>
      <c r="J14" t="s">
        <v>25</v>
      </c>
      <c r="K14">
        <v>5</v>
      </c>
      <c r="L14" s="1">
        <v>785</v>
      </c>
      <c r="M14" t="s">
        <v>91</v>
      </c>
      <c r="N14">
        <v>2018</v>
      </c>
      <c r="O14" t="s">
        <v>87</v>
      </c>
      <c r="P14" t="s">
        <v>42</v>
      </c>
      <c r="Q14" t="s">
        <v>43</v>
      </c>
      <c r="R14" s="9">
        <f>Sheet1[[#This Row],[Price]]*Sheet1[[#This Row],[Quantity]]</f>
        <v>3925</v>
      </c>
    </row>
    <row r="15" spans="1:19" x14ac:dyDescent="0.35">
      <c r="A15" t="s">
        <v>18</v>
      </c>
      <c r="B15" t="s">
        <v>92</v>
      </c>
      <c r="C15" t="s">
        <v>93</v>
      </c>
      <c r="D15" t="s">
        <v>21</v>
      </c>
      <c r="E15">
        <v>54.37</v>
      </c>
      <c r="F15">
        <v>18.63</v>
      </c>
      <c r="G15" t="s">
        <v>32</v>
      </c>
      <c r="H15" t="s">
        <v>33</v>
      </c>
      <c r="I15" t="s">
        <v>94</v>
      </c>
      <c r="J15" t="s">
        <v>95</v>
      </c>
      <c r="K15">
        <v>6</v>
      </c>
      <c r="L15" s="1">
        <v>286</v>
      </c>
      <c r="M15" t="s">
        <v>81</v>
      </c>
      <c r="N15">
        <v>2018</v>
      </c>
      <c r="O15" t="s">
        <v>36</v>
      </c>
      <c r="P15" t="s">
        <v>28</v>
      </c>
      <c r="Q15" t="s">
        <v>29</v>
      </c>
      <c r="R15" s="9">
        <f>Sheet1[[#This Row],[Price]]*Sheet1[[#This Row],[Quantity]]</f>
        <v>1716</v>
      </c>
    </row>
    <row r="16" spans="1:19" x14ac:dyDescent="0.35">
      <c r="A16" t="s">
        <v>18</v>
      </c>
      <c r="B16" t="s">
        <v>96</v>
      </c>
      <c r="C16" t="s">
        <v>97</v>
      </c>
      <c r="D16" t="s">
        <v>21</v>
      </c>
      <c r="E16">
        <v>50.45</v>
      </c>
      <c r="F16">
        <v>18.87</v>
      </c>
      <c r="G16" t="s">
        <v>22</v>
      </c>
      <c r="H16" t="s">
        <v>23</v>
      </c>
      <c r="I16" t="s">
        <v>98</v>
      </c>
      <c r="J16" t="s">
        <v>95</v>
      </c>
      <c r="K16">
        <v>7</v>
      </c>
      <c r="L16" s="1">
        <v>487</v>
      </c>
      <c r="M16" t="s">
        <v>26</v>
      </c>
      <c r="N16">
        <v>2018</v>
      </c>
      <c r="O16" t="s">
        <v>52</v>
      </c>
      <c r="P16" t="s">
        <v>28</v>
      </c>
      <c r="Q16" t="s">
        <v>29</v>
      </c>
      <c r="R16" s="9">
        <f>Sheet1[[#This Row],[Price]]*Sheet1[[#This Row],[Quantity]]</f>
        <v>3409</v>
      </c>
    </row>
    <row r="17" spans="1:18" x14ac:dyDescent="0.35">
      <c r="A17" t="s">
        <v>18</v>
      </c>
      <c r="B17" t="s">
        <v>99</v>
      </c>
      <c r="C17" t="s">
        <v>100</v>
      </c>
      <c r="D17" t="s">
        <v>21</v>
      </c>
      <c r="E17">
        <v>50.15</v>
      </c>
      <c r="F17">
        <v>18.829999999999998</v>
      </c>
      <c r="G17" t="s">
        <v>22</v>
      </c>
      <c r="H17" t="s">
        <v>23</v>
      </c>
      <c r="I17" t="s">
        <v>101</v>
      </c>
      <c r="J17" t="s">
        <v>47</v>
      </c>
      <c r="K17">
        <v>5</v>
      </c>
      <c r="L17" s="1">
        <v>605</v>
      </c>
      <c r="M17" t="s">
        <v>26</v>
      </c>
      <c r="N17">
        <v>2018</v>
      </c>
      <c r="O17" t="s">
        <v>76</v>
      </c>
      <c r="P17" t="s">
        <v>42</v>
      </c>
      <c r="Q17" t="s">
        <v>43</v>
      </c>
      <c r="R17" s="9">
        <f>Sheet1[[#This Row],[Price]]*Sheet1[[#This Row],[Quantity]]</f>
        <v>3025</v>
      </c>
    </row>
    <row r="18" spans="1:18" x14ac:dyDescent="0.35">
      <c r="A18" t="s">
        <v>18</v>
      </c>
      <c r="B18" t="s">
        <v>102</v>
      </c>
      <c r="C18" t="s">
        <v>103</v>
      </c>
      <c r="D18" t="s">
        <v>21</v>
      </c>
      <c r="E18">
        <v>52.8</v>
      </c>
      <c r="F18">
        <v>17.2</v>
      </c>
      <c r="G18" t="s">
        <v>22</v>
      </c>
      <c r="H18" t="s">
        <v>23</v>
      </c>
      <c r="I18" t="s">
        <v>104</v>
      </c>
      <c r="J18" t="s">
        <v>95</v>
      </c>
      <c r="K18">
        <v>5</v>
      </c>
      <c r="L18" s="1">
        <v>548</v>
      </c>
      <c r="M18" t="s">
        <v>91</v>
      </c>
      <c r="N18">
        <v>2018</v>
      </c>
      <c r="O18" t="s">
        <v>105</v>
      </c>
      <c r="P18" t="s">
        <v>71</v>
      </c>
      <c r="Q18" t="s">
        <v>72</v>
      </c>
      <c r="R18" s="9">
        <f>Sheet1[[#This Row],[Price]]*Sheet1[[#This Row],[Quantity]]</f>
        <v>2740</v>
      </c>
    </row>
    <row r="19" spans="1:18" x14ac:dyDescent="0.35">
      <c r="A19" t="s">
        <v>18</v>
      </c>
      <c r="B19" t="s">
        <v>106</v>
      </c>
      <c r="C19" t="s">
        <v>107</v>
      </c>
      <c r="D19" t="s">
        <v>21</v>
      </c>
      <c r="E19">
        <v>51.12</v>
      </c>
      <c r="F19">
        <v>15.58</v>
      </c>
      <c r="G19" t="s">
        <v>22</v>
      </c>
      <c r="H19" t="s">
        <v>23</v>
      </c>
      <c r="I19" t="s">
        <v>108</v>
      </c>
      <c r="J19" t="s">
        <v>86</v>
      </c>
      <c r="K19">
        <v>30</v>
      </c>
      <c r="L19" s="1">
        <v>288</v>
      </c>
      <c r="M19" t="s">
        <v>26</v>
      </c>
      <c r="N19">
        <v>2018</v>
      </c>
      <c r="O19" t="s">
        <v>76</v>
      </c>
      <c r="P19" t="s">
        <v>42</v>
      </c>
      <c r="Q19" t="s">
        <v>43</v>
      </c>
      <c r="R19" s="9">
        <f>Sheet1[[#This Row],[Price]]*Sheet1[[#This Row],[Quantity]]</f>
        <v>8640</v>
      </c>
    </row>
    <row r="20" spans="1:18" x14ac:dyDescent="0.35">
      <c r="A20" t="s">
        <v>18</v>
      </c>
      <c r="B20" t="s">
        <v>109</v>
      </c>
      <c r="C20" t="s">
        <v>110</v>
      </c>
      <c r="D20" t="s">
        <v>21</v>
      </c>
      <c r="E20">
        <v>51.13</v>
      </c>
      <c r="F20">
        <v>15.92</v>
      </c>
      <c r="G20" t="s">
        <v>32</v>
      </c>
      <c r="H20" t="s">
        <v>39</v>
      </c>
      <c r="I20" t="s">
        <v>111</v>
      </c>
      <c r="J20" t="s">
        <v>47</v>
      </c>
      <c r="K20">
        <v>2</v>
      </c>
      <c r="L20" s="1">
        <v>414</v>
      </c>
      <c r="M20" t="s">
        <v>26</v>
      </c>
      <c r="N20">
        <v>2018</v>
      </c>
      <c r="O20" t="s">
        <v>52</v>
      </c>
      <c r="P20" t="s">
        <v>28</v>
      </c>
      <c r="Q20" t="s">
        <v>29</v>
      </c>
      <c r="R20" s="9">
        <f>Sheet1[[#This Row],[Price]]*Sheet1[[#This Row],[Quantity]]</f>
        <v>828</v>
      </c>
    </row>
    <row r="21" spans="1:18" x14ac:dyDescent="0.35">
      <c r="A21" t="s">
        <v>18</v>
      </c>
      <c r="B21" t="s">
        <v>112</v>
      </c>
      <c r="C21" t="s">
        <v>113</v>
      </c>
      <c r="D21" t="s">
        <v>21</v>
      </c>
      <c r="E21">
        <v>53.86</v>
      </c>
      <c r="F21">
        <v>20.96</v>
      </c>
      <c r="G21" t="s">
        <v>32</v>
      </c>
      <c r="H21" t="s">
        <v>33</v>
      </c>
      <c r="I21" t="s">
        <v>114</v>
      </c>
      <c r="J21" t="s">
        <v>86</v>
      </c>
      <c r="K21">
        <v>2</v>
      </c>
      <c r="L21" s="1">
        <v>307</v>
      </c>
      <c r="M21" t="s">
        <v>26</v>
      </c>
      <c r="N21">
        <v>2018</v>
      </c>
      <c r="O21" t="s">
        <v>115</v>
      </c>
      <c r="P21" t="s">
        <v>58</v>
      </c>
      <c r="Q21" t="s">
        <v>59</v>
      </c>
      <c r="R21" s="9">
        <f>Sheet1[[#This Row],[Price]]*Sheet1[[#This Row],[Quantity]]</f>
        <v>614</v>
      </c>
    </row>
    <row r="22" spans="1:18" x14ac:dyDescent="0.35">
      <c r="A22" t="s">
        <v>18</v>
      </c>
      <c r="B22" t="s">
        <v>116</v>
      </c>
      <c r="C22" t="s">
        <v>117</v>
      </c>
      <c r="D22" t="s">
        <v>21</v>
      </c>
      <c r="E22">
        <v>50.55</v>
      </c>
      <c r="F22">
        <v>22.73</v>
      </c>
      <c r="G22" t="s">
        <v>32</v>
      </c>
      <c r="H22" t="s">
        <v>39</v>
      </c>
      <c r="I22" t="s">
        <v>118</v>
      </c>
      <c r="J22" t="s">
        <v>95</v>
      </c>
      <c r="K22">
        <v>5</v>
      </c>
      <c r="L22" s="1">
        <v>421</v>
      </c>
      <c r="M22" t="s">
        <v>51</v>
      </c>
      <c r="N22">
        <v>2018</v>
      </c>
      <c r="O22" t="s">
        <v>119</v>
      </c>
      <c r="P22" t="s">
        <v>71</v>
      </c>
      <c r="Q22" t="s">
        <v>72</v>
      </c>
      <c r="R22" s="9">
        <f>Sheet1[[#This Row],[Price]]*Sheet1[[#This Row],[Quantity]]</f>
        <v>2105</v>
      </c>
    </row>
    <row r="23" spans="1:18" x14ac:dyDescent="0.35">
      <c r="A23" t="s">
        <v>18</v>
      </c>
      <c r="B23" t="s">
        <v>120</v>
      </c>
      <c r="C23" t="s">
        <v>121</v>
      </c>
      <c r="D23" t="s">
        <v>21</v>
      </c>
      <c r="E23">
        <v>53.83</v>
      </c>
      <c r="F23">
        <v>18.829999999999998</v>
      </c>
      <c r="G23" t="s">
        <v>32</v>
      </c>
      <c r="H23" t="s">
        <v>33</v>
      </c>
      <c r="I23" t="s">
        <v>122</v>
      </c>
      <c r="J23" t="s">
        <v>86</v>
      </c>
      <c r="K23">
        <v>20</v>
      </c>
      <c r="L23" s="1">
        <v>765</v>
      </c>
      <c r="M23" t="s">
        <v>26</v>
      </c>
      <c r="N23">
        <v>2018</v>
      </c>
      <c r="O23" t="s">
        <v>87</v>
      </c>
      <c r="P23" t="s">
        <v>42</v>
      </c>
      <c r="Q23" t="s">
        <v>43</v>
      </c>
      <c r="R23" s="9">
        <f>Sheet1[[#This Row],[Price]]*Sheet1[[#This Row],[Quantity]]</f>
        <v>15300</v>
      </c>
    </row>
    <row r="24" spans="1:18" x14ac:dyDescent="0.35">
      <c r="A24" t="s">
        <v>18</v>
      </c>
      <c r="B24" t="s">
        <v>123</v>
      </c>
      <c r="C24" t="s">
        <v>124</v>
      </c>
      <c r="D24" t="s">
        <v>21</v>
      </c>
      <c r="E24">
        <v>51.27</v>
      </c>
      <c r="F24">
        <v>15.57</v>
      </c>
      <c r="G24" t="s">
        <v>32</v>
      </c>
      <c r="H24" t="s">
        <v>33</v>
      </c>
      <c r="I24" t="s">
        <v>125</v>
      </c>
      <c r="J24" t="s">
        <v>35</v>
      </c>
      <c r="K24">
        <v>5</v>
      </c>
      <c r="L24" s="1">
        <v>215</v>
      </c>
      <c r="M24" t="s">
        <v>26</v>
      </c>
      <c r="N24">
        <v>2018</v>
      </c>
      <c r="O24" t="s">
        <v>36</v>
      </c>
      <c r="P24" t="s">
        <v>28</v>
      </c>
      <c r="Q24" t="s">
        <v>29</v>
      </c>
      <c r="R24" s="9">
        <f>Sheet1[[#This Row],[Price]]*Sheet1[[#This Row],[Quantity]]</f>
        <v>1075</v>
      </c>
    </row>
    <row r="25" spans="1:18" x14ac:dyDescent="0.35">
      <c r="A25" t="s">
        <v>18</v>
      </c>
      <c r="B25" t="s">
        <v>126</v>
      </c>
      <c r="C25" t="s">
        <v>127</v>
      </c>
      <c r="D25" t="s">
        <v>21</v>
      </c>
      <c r="E25">
        <v>50.84</v>
      </c>
      <c r="F25">
        <v>16.489999999999998</v>
      </c>
      <c r="G25" t="s">
        <v>32</v>
      </c>
      <c r="H25" t="s">
        <v>39</v>
      </c>
      <c r="I25" t="s">
        <v>128</v>
      </c>
      <c r="J25" t="s">
        <v>86</v>
      </c>
      <c r="K25">
        <v>26</v>
      </c>
      <c r="L25" s="1">
        <v>689</v>
      </c>
      <c r="M25" t="s">
        <v>26</v>
      </c>
      <c r="N25">
        <v>2018</v>
      </c>
      <c r="O25" t="s">
        <v>76</v>
      </c>
      <c r="P25" t="s">
        <v>42</v>
      </c>
      <c r="Q25" t="s">
        <v>43</v>
      </c>
      <c r="R25" s="9">
        <f>Sheet1[[#This Row],[Price]]*Sheet1[[#This Row],[Quantity]]</f>
        <v>17914</v>
      </c>
    </row>
    <row r="26" spans="1:18" x14ac:dyDescent="0.35">
      <c r="A26" t="s">
        <v>18</v>
      </c>
      <c r="B26" t="s">
        <v>129</v>
      </c>
      <c r="C26" t="s">
        <v>130</v>
      </c>
      <c r="D26" t="s">
        <v>21</v>
      </c>
      <c r="E26">
        <v>52.18</v>
      </c>
      <c r="F26">
        <v>20.85</v>
      </c>
      <c r="G26" t="s">
        <v>22</v>
      </c>
      <c r="H26" t="s">
        <v>23</v>
      </c>
      <c r="I26" t="s">
        <v>55</v>
      </c>
      <c r="J26" t="s">
        <v>25</v>
      </c>
      <c r="K26">
        <v>16</v>
      </c>
      <c r="L26" s="1">
        <v>123</v>
      </c>
      <c r="M26" t="s">
        <v>26</v>
      </c>
      <c r="N26">
        <v>2018</v>
      </c>
      <c r="O26" t="s">
        <v>70</v>
      </c>
      <c r="P26" t="s">
        <v>71</v>
      </c>
      <c r="Q26" t="s">
        <v>72</v>
      </c>
      <c r="R26" s="9">
        <f>Sheet1[[#This Row],[Price]]*Sheet1[[#This Row],[Quantity]]</f>
        <v>1968</v>
      </c>
    </row>
    <row r="27" spans="1:18" x14ac:dyDescent="0.35">
      <c r="A27" t="s">
        <v>18</v>
      </c>
      <c r="B27" t="s">
        <v>131</v>
      </c>
      <c r="C27" t="s">
        <v>132</v>
      </c>
      <c r="D27" t="s">
        <v>21</v>
      </c>
      <c r="E27">
        <v>51.78</v>
      </c>
      <c r="F27">
        <v>19.45</v>
      </c>
      <c r="G27" t="s">
        <v>32</v>
      </c>
      <c r="H27" t="s">
        <v>33</v>
      </c>
      <c r="I27" t="s">
        <v>133</v>
      </c>
      <c r="J27" t="s">
        <v>134</v>
      </c>
      <c r="K27">
        <v>35</v>
      </c>
      <c r="L27" s="1">
        <v>24</v>
      </c>
      <c r="M27" t="s">
        <v>26</v>
      </c>
      <c r="N27">
        <v>2018</v>
      </c>
      <c r="O27" t="s">
        <v>70</v>
      </c>
      <c r="P27" t="s">
        <v>71</v>
      </c>
      <c r="Q27" t="s">
        <v>72</v>
      </c>
      <c r="R27" s="9">
        <f>Sheet1[[#This Row],[Price]]*Sheet1[[#This Row],[Quantity]]</f>
        <v>840</v>
      </c>
    </row>
    <row r="28" spans="1:18" x14ac:dyDescent="0.35">
      <c r="A28" t="s">
        <v>18</v>
      </c>
      <c r="B28" t="s">
        <v>135</v>
      </c>
      <c r="C28" t="s">
        <v>136</v>
      </c>
      <c r="D28" t="s">
        <v>21</v>
      </c>
      <c r="E28">
        <v>50.05</v>
      </c>
      <c r="F28">
        <v>22</v>
      </c>
      <c r="G28" t="s">
        <v>32</v>
      </c>
      <c r="H28" t="s">
        <v>39</v>
      </c>
      <c r="I28" t="s">
        <v>137</v>
      </c>
      <c r="J28" t="s">
        <v>86</v>
      </c>
      <c r="K28">
        <v>2</v>
      </c>
      <c r="L28" s="1">
        <v>502</v>
      </c>
      <c r="M28" t="s">
        <v>26</v>
      </c>
      <c r="N28">
        <v>2018</v>
      </c>
      <c r="O28" t="s">
        <v>105</v>
      </c>
      <c r="P28" t="s">
        <v>71</v>
      </c>
      <c r="Q28" t="s">
        <v>72</v>
      </c>
      <c r="R28" s="9">
        <f>Sheet1[[#This Row],[Price]]*Sheet1[[#This Row],[Quantity]]</f>
        <v>1004</v>
      </c>
    </row>
    <row r="29" spans="1:18" x14ac:dyDescent="0.35">
      <c r="A29" t="s">
        <v>18</v>
      </c>
      <c r="B29" t="s">
        <v>138</v>
      </c>
      <c r="C29" t="s">
        <v>139</v>
      </c>
      <c r="D29" t="s">
        <v>21</v>
      </c>
      <c r="E29">
        <v>50.16</v>
      </c>
      <c r="F29">
        <v>23.12</v>
      </c>
      <c r="G29" t="s">
        <v>32</v>
      </c>
      <c r="H29" t="s">
        <v>39</v>
      </c>
      <c r="I29" t="s">
        <v>140</v>
      </c>
      <c r="J29" t="s">
        <v>134</v>
      </c>
      <c r="K29">
        <v>3</v>
      </c>
      <c r="L29" s="1">
        <v>511</v>
      </c>
      <c r="M29" t="s">
        <v>26</v>
      </c>
      <c r="N29">
        <v>2018</v>
      </c>
      <c r="O29" t="s">
        <v>36</v>
      </c>
      <c r="P29" t="s">
        <v>28</v>
      </c>
      <c r="Q29" t="s">
        <v>29</v>
      </c>
      <c r="R29" s="9">
        <f>Sheet1[[#This Row],[Price]]*Sheet1[[#This Row],[Quantity]]</f>
        <v>1533</v>
      </c>
    </row>
    <row r="30" spans="1:18" x14ac:dyDescent="0.35">
      <c r="A30" t="s">
        <v>18</v>
      </c>
      <c r="B30" t="s">
        <v>141</v>
      </c>
      <c r="C30" t="s">
        <v>142</v>
      </c>
      <c r="D30" t="s">
        <v>21</v>
      </c>
      <c r="E30">
        <v>51.23</v>
      </c>
      <c r="F30">
        <v>22.7</v>
      </c>
      <c r="G30" t="s">
        <v>32</v>
      </c>
      <c r="H30" t="s">
        <v>39</v>
      </c>
      <c r="I30" t="s">
        <v>143</v>
      </c>
      <c r="J30" t="s">
        <v>25</v>
      </c>
      <c r="K30">
        <v>50</v>
      </c>
      <c r="L30" s="1">
        <v>653</v>
      </c>
      <c r="M30" t="s">
        <v>144</v>
      </c>
      <c r="N30">
        <v>2018</v>
      </c>
      <c r="O30" t="s">
        <v>87</v>
      </c>
      <c r="P30" t="s">
        <v>42</v>
      </c>
      <c r="Q30" t="s">
        <v>43</v>
      </c>
      <c r="R30" s="9">
        <f>Sheet1[[#This Row],[Price]]*Sheet1[[#This Row],[Quantity]]</f>
        <v>32650</v>
      </c>
    </row>
    <row r="31" spans="1:18" x14ac:dyDescent="0.35">
      <c r="A31" t="s">
        <v>18</v>
      </c>
      <c r="B31" t="s">
        <v>145</v>
      </c>
      <c r="C31" t="s">
        <v>146</v>
      </c>
      <c r="D31" t="s">
        <v>21</v>
      </c>
      <c r="E31">
        <v>50.48</v>
      </c>
      <c r="F31">
        <v>17.97</v>
      </c>
      <c r="G31" t="s">
        <v>32</v>
      </c>
      <c r="H31" t="s">
        <v>39</v>
      </c>
      <c r="I31" t="s">
        <v>147</v>
      </c>
      <c r="J31" t="s">
        <v>86</v>
      </c>
      <c r="K31">
        <v>4</v>
      </c>
      <c r="L31" s="1">
        <v>692</v>
      </c>
      <c r="M31" t="s">
        <v>26</v>
      </c>
      <c r="N31">
        <v>2018</v>
      </c>
      <c r="O31" t="s">
        <v>105</v>
      </c>
      <c r="P31" t="s">
        <v>71</v>
      </c>
      <c r="Q31" t="s">
        <v>72</v>
      </c>
      <c r="R31" s="9">
        <f>Sheet1[[#This Row],[Price]]*Sheet1[[#This Row],[Quantity]]</f>
        <v>2768</v>
      </c>
    </row>
    <row r="32" spans="1:18" x14ac:dyDescent="0.35">
      <c r="A32" t="s">
        <v>18</v>
      </c>
      <c r="B32" t="s">
        <v>148</v>
      </c>
      <c r="C32" t="s">
        <v>149</v>
      </c>
      <c r="D32" t="s">
        <v>21</v>
      </c>
      <c r="E32">
        <v>50.87</v>
      </c>
      <c r="F32">
        <v>17.48</v>
      </c>
      <c r="G32" t="s">
        <v>22</v>
      </c>
      <c r="H32" t="s">
        <v>79</v>
      </c>
      <c r="I32" t="s">
        <v>150</v>
      </c>
      <c r="J32" t="s">
        <v>134</v>
      </c>
      <c r="K32">
        <v>6</v>
      </c>
      <c r="L32" s="1">
        <v>164</v>
      </c>
      <c r="M32" t="s">
        <v>26</v>
      </c>
      <c r="N32">
        <v>2018</v>
      </c>
      <c r="O32" t="s">
        <v>27</v>
      </c>
      <c r="P32" t="s">
        <v>28</v>
      </c>
      <c r="Q32" t="s">
        <v>29</v>
      </c>
      <c r="R32" s="9">
        <f>Sheet1[[#This Row],[Price]]*Sheet1[[#This Row],[Quantity]]</f>
        <v>984</v>
      </c>
    </row>
    <row r="33" spans="1:18" x14ac:dyDescent="0.35">
      <c r="A33" t="s">
        <v>18</v>
      </c>
      <c r="B33" t="s">
        <v>151</v>
      </c>
      <c r="C33" t="s">
        <v>152</v>
      </c>
      <c r="D33" t="s">
        <v>21</v>
      </c>
      <c r="E33">
        <v>49.3</v>
      </c>
      <c r="F33">
        <v>19.95</v>
      </c>
      <c r="G33" t="s">
        <v>32</v>
      </c>
      <c r="H33" t="s">
        <v>33</v>
      </c>
      <c r="I33" t="s">
        <v>69</v>
      </c>
      <c r="J33" t="s">
        <v>25</v>
      </c>
      <c r="K33">
        <v>60</v>
      </c>
      <c r="L33" s="1">
        <v>551</v>
      </c>
      <c r="M33" t="s">
        <v>26</v>
      </c>
      <c r="N33">
        <v>2018</v>
      </c>
      <c r="O33" t="s">
        <v>27</v>
      </c>
      <c r="P33" t="s">
        <v>28</v>
      </c>
      <c r="Q33" t="s">
        <v>29</v>
      </c>
      <c r="R33" s="9">
        <f>Sheet1[[#This Row],[Price]]*Sheet1[[#This Row],[Quantity]]</f>
        <v>33060</v>
      </c>
    </row>
    <row r="34" spans="1:18" x14ac:dyDescent="0.35">
      <c r="A34" t="s">
        <v>18</v>
      </c>
      <c r="B34" t="s">
        <v>153</v>
      </c>
      <c r="C34" t="s">
        <v>154</v>
      </c>
      <c r="D34" t="s">
        <v>21</v>
      </c>
      <c r="E34">
        <v>52.14</v>
      </c>
      <c r="F34">
        <v>20.72</v>
      </c>
      <c r="G34" t="s">
        <v>22</v>
      </c>
      <c r="H34" t="s">
        <v>23</v>
      </c>
      <c r="I34" t="s">
        <v>155</v>
      </c>
      <c r="J34" t="s">
        <v>35</v>
      </c>
      <c r="K34">
        <v>5</v>
      </c>
      <c r="L34" s="1">
        <v>114</v>
      </c>
      <c r="M34" t="s">
        <v>26</v>
      </c>
      <c r="N34">
        <v>2018</v>
      </c>
      <c r="O34" t="s">
        <v>36</v>
      </c>
      <c r="P34" t="s">
        <v>28</v>
      </c>
      <c r="Q34" t="s">
        <v>29</v>
      </c>
      <c r="R34" s="9">
        <f>Sheet1[[#This Row],[Price]]*Sheet1[[#This Row],[Quantity]]</f>
        <v>570</v>
      </c>
    </row>
    <row r="35" spans="1:18" x14ac:dyDescent="0.35">
      <c r="A35" t="s">
        <v>18</v>
      </c>
      <c r="B35" t="s">
        <v>156</v>
      </c>
      <c r="C35" t="s">
        <v>157</v>
      </c>
      <c r="D35" t="s">
        <v>21</v>
      </c>
      <c r="E35">
        <v>49.82</v>
      </c>
      <c r="F35">
        <v>19.04</v>
      </c>
      <c r="G35" t="s">
        <v>32</v>
      </c>
      <c r="H35" t="s">
        <v>39</v>
      </c>
      <c r="I35" t="s">
        <v>158</v>
      </c>
      <c r="J35" t="s">
        <v>47</v>
      </c>
      <c r="K35">
        <v>5</v>
      </c>
      <c r="L35" s="1">
        <v>26</v>
      </c>
      <c r="M35" t="s">
        <v>26</v>
      </c>
      <c r="N35">
        <v>2018</v>
      </c>
      <c r="O35" t="s">
        <v>82</v>
      </c>
      <c r="P35" t="s">
        <v>58</v>
      </c>
      <c r="Q35" t="s">
        <v>59</v>
      </c>
      <c r="R35" s="9">
        <f>Sheet1[[#This Row],[Price]]*Sheet1[[#This Row],[Quantity]]</f>
        <v>130</v>
      </c>
    </row>
    <row r="36" spans="1:18" x14ac:dyDescent="0.35">
      <c r="A36" t="s">
        <v>18</v>
      </c>
      <c r="B36" t="s">
        <v>159</v>
      </c>
      <c r="C36" t="s">
        <v>160</v>
      </c>
      <c r="D36" t="s">
        <v>21</v>
      </c>
      <c r="E36">
        <v>53.27</v>
      </c>
      <c r="F36">
        <v>16.47</v>
      </c>
      <c r="G36" t="s">
        <v>22</v>
      </c>
      <c r="H36" t="s">
        <v>79</v>
      </c>
      <c r="I36" t="s">
        <v>161</v>
      </c>
      <c r="J36" t="s">
        <v>25</v>
      </c>
      <c r="K36">
        <v>30</v>
      </c>
      <c r="L36" s="1">
        <v>452</v>
      </c>
      <c r="M36" t="s">
        <v>26</v>
      </c>
      <c r="N36">
        <v>2018</v>
      </c>
      <c r="O36" t="s">
        <v>63</v>
      </c>
      <c r="P36" t="s">
        <v>28</v>
      </c>
      <c r="Q36" t="s">
        <v>29</v>
      </c>
      <c r="R36" s="9">
        <f>Sheet1[[#This Row],[Price]]*Sheet1[[#This Row],[Quantity]]</f>
        <v>13560</v>
      </c>
    </row>
    <row r="37" spans="1:18" x14ac:dyDescent="0.35">
      <c r="A37" t="s">
        <v>18</v>
      </c>
      <c r="B37" t="s">
        <v>162</v>
      </c>
      <c r="C37" t="s">
        <v>163</v>
      </c>
      <c r="D37" t="s">
        <v>21</v>
      </c>
      <c r="E37">
        <v>49.88</v>
      </c>
      <c r="F37">
        <v>19.22</v>
      </c>
      <c r="G37" t="s">
        <v>32</v>
      </c>
      <c r="H37" t="s">
        <v>39</v>
      </c>
      <c r="I37" t="s">
        <v>164</v>
      </c>
      <c r="J37" t="s">
        <v>25</v>
      </c>
      <c r="K37">
        <v>1</v>
      </c>
      <c r="L37" s="1">
        <v>604</v>
      </c>
      <c r="M37" t="s">
        <v>26</v>
      </c>
      <c r="N37">
        <v>2018</v>
      </c>
      <c r="O37" t="s">
        <v>41</v>
      </c>
      <c r="P37" t="s">
        <v>42</v>
      </c>
      <c r="Q37" t="s">
        <v>43</v>
      </c>
      <c r="R37" s="9">
        <f>Sheet1[[#This Row],[Price]]*Sheet1[[#This Row],[Quantity]]</f>
        <v>604</v>
      </c>
    </row>
    <row r="38" spans="1:18" x14ac:dyDescent="0.35">
      <c r="A38" t="s">
        <v>18</v>
      </c>
      <c r="B38" t="s">
        <v>165</v>
      </c>
      <c r="C38" t="s">
        <v>166</v>
      </c>
      <c r="D38" t="s">
        <v>21</v>
      </c>
      <c r="E38">
        <v>50.8</v>
      </c>
      <c r="F38">
        <v>19.12</v>
      </c>
      <c r="G38" t="s">
        <v>32</v>
      </c>
      <c r="H38" t="s">
        <v>33</v>
      </c>
      <c r="I38" t="s">
        <v>167</v>
      </c>
      <c r="J38" t="s">
        <v>95</v>
      </c>
      <c r="K38">
        <v>2</v>
      </c>
      <c r="L38" s="1">
        <v>768</v>
      </c>
      <c r="M38" t="s">
        <v>26</v>
      </c>
      <c r="N38">
        <v>2018</v>
      </c>
      <c r="O38" t="s">
        <v>36</v>
      </c>
      <c r="P38" t="s">
        <v>28</v>
      </c>
      <c r="Q38" t="s">
        <v>29</v>
      </c>
      <c r="R38" s="9">
        <f>Sheet1[[#This Row],[Price]]*Sheet1[[#This Row],[Quantity]]</f>
        <v>1536</v>
      </c>
    </row>
    <row r="39" spans="1:18" x14ac:dyDescent="0.35">
      <c r="A39" t="s">
        <v>18</v>
      </c>
      <c r="B39" t="s">
        <v>168</v>
      </c>
      <c r="C39" t="s">
        <v>169</v>
      </c>
      <c r="D39" t="s">
        <v>21</v>
      </c>
      <c r="E39">
        <v>51.37</v>
      </c>
      <c r="F39">
        <v>19.37</v>
      </c>
      <c r="G39" t="s">
        <v>22</v>
      </c>
      <c r="H39" t="s">
        <v>23</v>
      </c>
      <c r="I39" t="s">
        <v>34</v>
      </c>
      <c r="J39" t="s">
        <v>35</v>
      </c>
      <c r="K39">
        <v>4</v>
      </c>
      <c r="L39" s="1">
        <v>591</v>
      </c>
      <c r="M39" t="s">
        <v>26</v>
      </c>
      <c r="N39">
        <v>2018</v>
      </c>
      <c r="O39" t="s">
        <v>115</v>
      </c>
      <c r="P39" t="s">
        <v>58</v>
      </c>
      <c r="Q39" t="s">
        <v>59</v>
      </c>
      <c r="R39" s="9">
        <f>Sheet1[[#This Row],[Price]]*Sheet1[[#This Row],[Quantity]]</f>
        <v>2364</v>
      </c>
    </row>
    <row r="40" spans="1:18" x14ac:dyDescent="0.35">
      <c r="A40" t="s">
        <v>18</v>
      </c>
      <c r="B40" t="s">
        <v>170</v>
      </c>
      <c r="C40" t="s">
        <v>171</v>
      </c>
      <c r="D40" t="s">
        <v>21</v>
      </c>
      <c r="E40">
        <v>53.2</v>
      </c>
      <c r="F40">
        <v>18.600000000000001</v>
      </c>
      <c r="G40" t="s">
        <v>22</v>
      </c>
      <c r="H40" t="s">
        <v>23</v>
      </c>
      <c r="I40" t="s">
        <v>172</v>
      </c>
      <c r="J40" t="s">
        <v>47</v>
      </c>
      <c r="K40">
        <v>2</v>
      </c>
      <c r="L40" s="1">
        <v>763</v>
      </c>
      <c r="M40" t="s">
        <v>26</v>
      </c>
      <c r="N40">
        <v>2018</v>
      </c>
      <c r="O40" t="s">
        <v>63</v>
      </c>
      <c r="P40" t="s">
        <v>28</v>
      </c>
      <c r="Q40" t="s">
        <v>29</v>
      </c>
      <c r="R40" s="9">
        <f>Sheet1[[#This Row],[Price]]*Sheet1[[#This Row],[Quantity]]</f>
        <v>1526</v>
      </c>
    </row>
    <row r="41" spans="1:18" x14ac:dyDescent="0.35">
      <c r="A41" t="s">
        <v>18</v>
      </c>
      <c r="B41" t="s">
        <v>173</v>
      </c>
      <c r="C41" t="s">
        <v>174</v>
      </c>
      <c r="D41" t="s">
        <v>21</v>
      </c>
      <c r="E41">
        <v>52.4</v>
      </c>
      <c r="F41">
        <v>16.920000000000002</v>
      </c>
      <c r="G41" t="s">
        <v>22</v>
      </c>
      <c r="H41" t="s">
        <v>79</v>
      </c>
      <c r="I41" t="s">
        <v>175</v>
      </c>
      <c r="J41" t="s">
        <v>35</v>
      </c>
      <c r="K41">
        <v>2</v>
      </c>
      <c r="L41" s="1">
        <v>458</v>
      </c>
      <c r="M41" t="s">
        <v>176</v>
      </c>
      <c r="N41">
        <v>2018</v>
      </c>
      <c r="O41" t="s">
        <v>87</v>
      </c>
      <c r="P41" t="s">
        <v>42</v>
      </c>
      <c r="Q41" t="s">
        <v>43</v>
      </c>
      <c r="R41" s="9">
        <f>Sheet1[[#This Row],[Price]]*Sheet1[[#This Row],[Quantity]]</f>
        <v>916</v>
      </c>
    </row>
    <row r="42" spans="1:18" x14ac:dyDescent="0.35">
      <c r="A42" t="s">
        <v>18</v>
      </c>
      <c r="B42" t="s">
        <v>177</v>
      </c>
      <c r="C42" t="s">
        <v>178</v>
      </c>
      <c r="D42" t="s">
        <v>21</v>
      </c>
      <c r="E42">
        <v>54.17</v>
      </c>
      <c r="F42">
        <v>19.399999999999999</v>
      </c>
      <c r="G42" t="s">
        <v>32</v>
      </c>
      <c r="H42" t="s">
        <v>39</v>
      </c>
      <c r="I42" t="s">
        <v>24</v>
      </c>
      <c r="J42" t="s">
        <v>25</v>
      </c>
      <c r="K42">
        <v>2</v>
      </c>
      <c r="L42" s="1">
        <v>368</v>
      </c>
      <c r="M42" t="s">
        <v>26</v>
      </c>
      <c r="N42">
        <v>2018</v>
      </c>
      <c r="O42" t="s">
        <v>115</v>
      </c>
      <c r="P42" t="s">
        <v>58</v>
      </c>
      <c r="Q42" t="s">
        <v>59</v>
      </c>
      <c r="R42" s="9">
        <f>Sheet1[[#This Row],[Price]]*Sheet1[[#This Row],[Quantity]]</f>
        <v>736</v>
      </c>
    </row>
    <row r="43" spans="1:18" x14ac:dyDescent="0.35">
      <c r="A43" t="s">
        <v>18</v>
      </c>
      <c r="B43" t="s">
        <v>179</v>
      </c>
      <c r="C43" t="s">
        <v>180</v>
      </c>
      <c r="D43" t="s">
        <v>21</v>
      </c>
      <c r="E43">
        <v>52.88</v>
      </c>
      <c r="F43">
        <v>18.78</v>
      </c>
      <c r="G43" t="s">
        <v>32</v>
      </c>
      <c r="H43" t="s">
        <v>33</v>
      </c>
      <c r="I43" t="s">
        <v>181</v>
      </c>
      <c r="J43" t="s">
        <v>134</v>
      </c>
      <c r="K43">
        <v>3</v>
      </c>
      <c r="L43" s="1">
        <v>682</v>
      </c>
      <c r="M43" t="s">
        <v>26</v>
      </c>
      <c r="N43">
        <v>2018</v>
      </c>
      <c r="O43" t="s">
        <v>27</v>
      </c>
      <c r="P43" t="s">
        <v>28</v>
      </c>
      <c r="Q43" t="s">
        <v>29</v>
      </c>
      <c r="R43" s="9">
        <f>Sheet1[[#This Row],[Price]]*Sheet1[[#This Row],[Quantity]]</f>
        <v>2046</v>
      </c>
    </row>
    <row r="44" spans="1:18" x14ac:dyDescent="0.35">
      <c r="A44" t="s">
        <v>18</v>
      </c>
      <c r="B44" t="s">
        <v>182</v>
      </c>
      <c r="C44" t="s">
        <v>183</v>
      </c>
      <c r="D44" t="s">
        <v>21</v>
      </c>
      <c r="E44">
        <v>50.44</v>
      </c>
      <c r="F44">
        <v>16.649999999999999</v>
      </c>
      <c r="G44" t="s">
        <v>22</v>
      </c>
      <c r="H44" t="s">
        <v>23</v>
      </c>
      <c r="I44" t="s">
        <v>184</v>
      </c>
      <c r="J44" t="s">
        <v>47</v>
      </c>
      <c r="K44">
        <v>4</v>
      </c>
      <c r="L44" s="1">
        <v>60</v>
      </c>
      <c r="M44" t="s">
        <v>26</v>
      </c>
      <c r="N44">
        <v>2018</v>
      </c>
      <c r="O44" t="s">
        <v>115</v>
      </c>
      <c r="P44" t="s">
        <v>58</v>
      </c>
      <c r="Q44" t="s">
        <v>59</v>
      </c>
      <c r="R44" s="9">
        <f>Sheet1[[#This Row],[Price]]*Sheet1[[#This Row],[Quantity]]</f>
        <v>240</v>
      </c>
    </row>
    <row r="45" spans="1:18" x14ac:dyDescent="0.35">
      <c r="A45" t="s">
        <v>18</v>
      </c>
      <c r="B45" t="s">
        <v>185</v>
      </c>
      <c r="C45" t="s">
        <v>186</v>
      </c>
      <c r="D45" t="s">
        <v>21</v>
      </c>
      <c r="E45">
        <v>53.76</v>
      </c>
      <c r="F45">
        <v>19.2</v>
      </c>
      <c r="G45" t="s">
        <v>22</v>
      </c>
      <c r="H45" t="s">
        <v>79</v>
      </c>
      <c r="I45" t="s">
        <v>187</v>
      </c>
      <c r="J45" t="s">
        <v>25</v>
      </c>
      <c r="K45">
        <v>2</v>
      </c>
      <c r="L45" s="1">
        <v>488</v>
      </c>
      <c r="M45" t="s">
        <v>26</v>
      </c>
      <c r="N45">
        <v>2018</v>
      </c>
      <c r="O45" t="s">
        <v>63</v>
      </c>
      <c r="P45" t="s">
        <v>28</v>
      </c>
      <c r="Q45" t="s">
        <v>29</v>
      </c>
      <c r="R45" s="9">
        <f>Sheet1[[#This Row],[Price]]*Sheet1[[#This Row],[Quantity]]</f>
        <v>976</v>
      </c>
    </row>
    <row r="46" spans="1:18" x14ac:dyDescent="0.35">
      <c r="A46" t="s">
        <v>18</v>
      </c>
      <c r="B46" t="s">
        <v>188</v>
      </c>
      <c r="C46" t="s">
        <v>189</v>
      </c>
      <c r="D46" t="s">
        <v>21</v>
      </c>
      <c r="E46">
        <v>50.3</v>
      </c>
      <c r="F46">
        <v>18.95</v>
      </c>
      <c r="G46" t="s">
        <v>32</v>
      </c>
      <c r="H46" t="s">
        <v>33</v>
      </c>
      <c r="I46" t="s">
        <v>190</v>
      </c>
      <c r="J46" t="s">
        <v>134</v>
      </c>
      <c r="K46">
        <v>8</v>
      </c>
      <c r="L46" s="1">
        <v>482</v>
      </c>
      <c r="M46" t="s">
        <v>144</v>
      </c>
      <c r="N46">
        <v>2018</v>
      </c>
      <c r="O46" t="s">
        <v>70</v>
      </c>
      <c r="P46" t="s">
        <v>71</v>
      </c>
      <c r="Q46" t="s">
        <v>72</v>
      </c>
      <c r="R46" s="9">
        <f>Sheet1[[#This Row],[Price]]*Sheet1[[#This Row],[Quantity]]</f>
        <v>3856</v>
      </c>
    </row>
    <row r="47" spans="1:18" x14ac:dyDescent="0.35">
      <c r="A47" t="s">
        <v>18</v>
      </c>
      <c r="B47" t="s">
        <v>191</v>
      </c>
      <c r="C47" t="s">
        <v>192</v>
      </c>
      <c r="D47" t="s">
        <v>21</v>
      </c>
      <c r="E47">
        <v>53.49</v>
      </c>
      <c r="F47">
        <v>18.78</v>
      </c>
      <c r="G47" t="s">
        <v>32</v>
      </c>
      <c r="H47" t="s">
        <v>33</v>
      </c>
      <c r="I47" t="s">
        <v>193</v>
      </c>
      <c r="J47" t="s">
        <v>25</v>
      </c>
      <c r="K47">
        <v>6</v>
      </c>
      <c r="L47" s="1">
        <v>391</v>
      </c>
      <c r="M47" t="s">
        <v>26</v>
      </c>
      <c r="N47">
        <v>2018</v>
      </c>
      <c r="O47" t="s">
        <v>115</v>
      </c>
      <c r="P47" t="s">
        <v>58</v>
      </c>
      <c r="Q47" t="s">
        <v>59</v>
      </c>
      <c r="R47" s="9">
        <f>Sheet1[[#This Row],[Price]]*Sheet1[[#This Row],[Quantity]]</f>
        <v>2346</v>
      </c>
    </row>
    <row r="48" spans="1:18" x14ac:dyDescent="0.35">
      <c r="A48" t="s">
        <v>18</v>
      </c>
      <c r="B48" t="s">
        <v>194</v>
      </c>
      <c r="C48" t="s">
        <v>195</v>
      </c>
      <c r="D48" t="s">
        <v>21</v>
      </c>
      <c r="E48">
        <v>52.06</v>
      </c>
      <c r="F48">
        <v>19.2</v>
      </c>
      <c r="G48" t="s">
        <v>32</v>
      </c>
      <c r="H48" t="s">
        <v>39</v>
      </c>
      <c r="I48" t="s">
        <v>196</v>
      </c>
      <c r="J48" t="s">
        <v>134</v>
      </c>
      <c r="K48">
        <v>10</v>
      </c>
      <c r="L48" s="1">
        <v>75</v>
      </c>
      <c r="M48" t="s">
        <v>26</v>
      </c>
      <c r="N48">
        <v>2018</v>
      </c>
      <c r="O48" t="s">
        <v>41</v>
      </c>
      <c r="P48" t="s">
        <v>42</v>
      </c>
      <c r="Q48" t="s">
        <v>43</v>
      </c>
      <c r="R48" s="9">
        <f>Sheet1[[#This Row],[Price]]*Sheet1[[#This Row],[Quantity]]</f>
        <v>750</v>
      </c>
    </row>
    <row r="49" spans="1:18" x14ac:dyDescent="0.35">
      <c r="A49" t="s">
        <v>18</v>
      </c>
      <c r="B49" t="s">
        <v>197</v>
      </c>
      <c r="C49" t="s">
        <v>198</v>
      </c>
      <c r="D49" t="s">
        <v>21</v>
      </c>
      <c r="E49">
        <v>53.65</v>
      </c>
      <c r="F49">
        <v>17.37</v>
      </c>
      <c r="G49" t="s">
        <v>32</v>
      </c>
      <c r="H49" t="s">
        <v>33</v>
      </c>
      <c r="I49" t="s">
        <v>199</v>
      </c>
      <c r="J49" t="s">
        <v>86</v>
      </c>
      <c r="K49">
        <v>10</v>
      </c>
      <c r="L49" s="1">
        <v>347</v>
      </c>
      <c r="M49" t="s">
        <v>26</v>
      </c>
      <c r="N49">
        <v>2018</v>
      </c>
      <c r="O49" t="s">
        <v>27</v>
      </c>
      <c r="P49" t="s">
        <v>28</v>
      </c>
      <c r="Q49" t="s">
        <v>29</v>
      </c>
      <c r="R49" s="9">
        <f>Sheet1[[#This Row],[Price]]*Sheet1[[#This Row],[Quantity]]</f>
        <v>3470</v>
      </c>
    </row>
    <row r="50" spans="1:18" x14ac:dyDescent="0.35">
      <c r="A50" t="s">
        <v>18</v>
      </c>
      <c r="B50" t="s">
        <v>200</v>
      </c>
      <c r="C50" t="s">
        <v>201</v>
      </c>
      <c r="D50" t="s">
        <v>21</v>
      </c>
      <c r="E50">
        <v>51.57</v>
      </c>
      <c r="F50">
        <v>21.86</v>
      </c>
      <c r="G50" t="s">
        <v>22</v>
      </c>
      <c r="H50" t="s">
        <v>23</v>
      </c>
      <c r="I50" t="s">
        <v>98</v>
      </c>
      <c r="J50" t="s">
        <v>95</v>
      </c>
      <c r="K50">
        <v>8</v>
      </c>
      <c r="L50" s="1">
        <v>487</v>
      </c>
      <c r="M50" t="s">
        <v>26</v>
      </c>
      <c r="N50">
        <v>2018</v>
      </c>
      <c r="O50" t="s">
        <v>57</v>
      </c>
      <c r="P50" t="s">
        <v>58</v>
      </c>
      <c r="Q50" t="s">
        <v>59</v>
      </c>
      <c r="R50" s="9">
        <f>Sheet1[[#This Row],[Price]]*Sheet1[[#This Row],[Quantity]]</f>
        <v>3896</v>
      </c>
    </row>
    <row r="51" spans="1:18" x14ac:dyDescent="0.35">
      <c r="A51" t="s">
        <v>18</v>
      </c>
      <c r="B51" t="s">
        <v>202</v>
      </c>
      <c r="C51" t="s">
        <v>203</v>
      </c>
      <c r="D51" t="s">
        <v>21</v>
      </c>
      <c r="E51">
        <v>53.92</v>
      </c>
      <c r="F51">
        <v>14.25</v>
      </c>
      <c r="G51" t="s">
        <v>22</v>
      </c>
      <c r="H51" t="s">
        <v>79</v>
      </c>
      <c r="I51" t="s">
        <v>204</v>
      </c>
      <c r="J51" t="s">
        <v>47</v>
      </c>
      <c r="K51">
        <v>1</v>
      </c>
      <c r="L51" s="1">
        <v>778</v>
      </c>
      <c r="M51" t="s">
        <v>26</v>
      </c>
      <c r="N51">
        <v>2018</v>
      </c>
      <c r="O51" t="s">
        <v>105</v>
      </c>
      <c r="P51" t="s">
        <v>71</v>
      </c>
      <c r="Q51" t="s">
        <v>72</v>
      </c>
      <c r="R51" s="9">
        <f>Sheet1[[#This Row],[Price]]*Sheet1[[#This Row],[Quantity]]</f>
        <v>778</v>
      </c>
    </row>
    <row r="52" spans="1:18" x14ac:dyDescent="0.35">
      <c r="A52" t="s">
        <v>18</v>
      </c>
      <c r="B52" t="s">
        <v>205</v>
      </c>
      <c r="C52" t="s">
        <v>206</v>
      </c>
      <c r="D52" t="s">
        <v>21</v>
      </c>
      <c r="E52">
        <v>52.73</v>
      </c>
      <c r="F52">
        <v>15.25</v>
      </c>
      <c r="G52" t="s">
        <v>32</v>
      </c>
      <c r="H52" t="s">
        <v>39</v>
      </c>
      <c r="I52" t="s">
        <v>164</v>
      </c>
      <c r="J52" t="s">
        <v>25</v>
      </c>
      <c r="K52">
        <v>20</v>
      </c>
      <c r="L52" s="1">
        <v>604</v>
      </c>
      <c r="M52" t="s">
        <v>26</v>
      </c>
      <c r="N52">
        <v>2018</v>
      </c>
      <c r="O52" t="s">
        <v>119</v>
      </c>
      <c r="P52" t="s">
        <v>71</v>
      </c>
      <c r="Q52" t="s">
        <v>72</v>
      </c>
      <c r="R52" s="9">
        <f>Sheet1[[#This Row],[Price]]*Sheet1[[#This Row],[Quantity]]</f>
        <v>12080</v>
      </c>
    </row>
    <row r="53" spans="1:18" x14ac:dyDescent="0.35">
      <c r="A53" t="s">
        <v>18</v>
      </c>
      <c r="B53" t="s">
        <v>207</v>
      </c>
      <c r="C53" t="s">
        <v>208</v>
      </c>
      <c r="D53" t="s">
        <v>21</v>
      </c>
      <c r="E53">
        <v>53.14</v>
      </c>
      <c r="F53">
        <v>17.600000000000001</v>
      </c>
      <c r="G53" t="s">
        <v>32</v>
      </c>
      <c r="H53" t="s">
        <v>33</v>
      </c>
      <c r="I53" t="s">
        <v>204</v>
      </c>
      <c r="J53" t="s">
        <v>47</v>
      </c>
      <c r="K53">
        <v>20</v>
      </c>
      <c r="L53" s="1">
        <v>778</v>
      </c>
      <c r="M53" t="s">
        <v>26</v>
      </c>
      <c r="N53">
        <v>2018</v>
      </c>
      <c r="O53" t="s">
        <v>82</v>
      </c>
      <c r="P53" t="s">
        <v>58</v>
      </c>
      <c r="Q53" t="s">
        <v>59</v>
      </c>
      <c r="R53" s="9">
        <f>Sheet1[[#This Row],[Price]]*Sheet1[[#This Row],[Quantity]]</f>
        <v>15560</v>
      </c>
    </row>
    <row r="54" spans="1:18" x14ac:dyDescent="0.35">
      <c r="A54" t="s">
        <v>18</v>
      </c>
      <c r="B54" t="s">
        <v>209</v>
      </c>
      <c r="C54" t="s">
        <v>210</v>
      </c>
      <c r="D54" t="s">
        <v>21</v>
      </c>
      <c r="E54">
        <v>53.25</v>
      </c>
      <c r="F54">
        <v>14.49</v>
      </c>
      <c r="G54" t="s">
        <v>22</v>
      </c>
      <c r="H54" t="s">
        <v>79</v>
      </c>
      <c r="I54" t="s">
        <v>211</v>
      </c>
      <c r="J54" t="s">
        <v>35</v>
      </c>
      <c r="K54">
        <v>3</v>
      </c>
      <c r="L54" s="1">
        <v>424</v>
      </c>
      <c r="M54" t="s">
        <v>26</v>
      </c>
      <c r="N54">
        <v>2018</v>
      </c>
      <c r="O54" t="s">
        <v>76</v>
      </c>
      <c r="P54" t="s">
        <v>42</v>
      </c>
      <c r="Q54" t="s">
        <v>43</v>
      </c>
      <c r="R54" s="9">
        <f>Sheet1[[#This Row],[Price]]*Sheet1[[#This Row],[Quantity]]</f>
        <v>1272</v>
      </c>
    </row>
    <row r="55" spans="1:18" x14ac:dyDescent="0.35">
      <c r="A55" t="s">
        <v>18</v>
      </c>
      <c r="B55" t="s">
        <v>212</v>
      </c>
      <c r="C55" t="s">
        <v>213</v>
      </c>
      <c r="D55" t="s">
        <v>21</v>
      </c>
      <c r="E55">
        <v>50.68</v>
      </c>
      <c r="F55">
        <v>21.75</v>
      </c>
      <c r="G55" t="s">
        <v>22</v>
      </c>
      <c r="H55" t="s">
        <v>79</v>
      </c>
      <c r="I55" t="s">
        <v>66</v>
      </c>
      <c r="J55" t="s">
        <v>25</v>
      </c>
      <c r="K55">
        <v>10</v>
      </c>
      <c r="L55" s="1">
        <v>742</v>
      </c>
      <c r="M55" t="s">
        <v>144</v>
      </c>
      <c r="N55">
        <v>2018</v>
      </c>
      <c r="O55" t="s">
        <v>36</v>
      </c>
      <c r="P55" t="s">
        <v>28</v>
      </c>
      <c r="Q55" t="s">
        <v>29</v>
      </c>
      <c r="R55" s="9">
        <f>Sheet1[[#This Row],[Price]]*Sheet1[[#This Row],[Quantity]]</f>
        <v>7420</v>
      </c>
    </row>
    <row r="56" spans="1:18" x14ac:dyDescent="0.35">
      <c r="A56" t="s">
        <v>18</v>
      </c>
      <c r="B56" t="s">
        <v>214</v>
      </c>
      <c r="C56" t="s">
        <v>215</v>
      </c>
      <c r="D56" t="s">
        <v>21</v>
      </c>
      <c r="E56">
        <v>53.97</v>
      </c>
      <c r="F56">
        <v>14.79</v>
      </c>
      <c r="G56" t="s">
        <v>22</v>
      </c>
      <c r="H56" t="s">
        <v>79</v>
      </c>
      <c r="I56" t="s">
        <v>40</v>
      </c>
      <c r="J56" t="s">
        <v>35</v>
      </c>
      <c r="K56">
        <v>100</v>
      </c>
      <c r="L56" s="1">
        <v>66</v>
      </c>
      <c r="M56" t="s">
        <v>26</v>
      </c>
      <c r="N56">
        <v>2018</v>
      </c>
      <c r="O56" t="s">
        <v>76</v>
      </c>
      <c r="P56" t="s">
        <v>42</v>
      </c>
      <c r="Q56" t="s">
        <v>43</v>
      </c>
      <c r="R56" s="9">
        <f>Sheet1[[#This Row],[Price]]*Sheet1[[#This Row],[Quantity]]</f>
        <v>6600</v>
      </c>
    </row>
    <row r="57" spans="1:18" x14ac:dyDescent="0.35">
      <c r="A57" t="s">
        <v>18</v>
      </c>
      <c r="B57" t="s">
        <v>216</v>
      </c>
      <c r="C57" t="s">
        <v>217</v>
      </c>
      <c r="D57" t="s">
        <v>21</v>
      </c>
      <c r="E57">
        <v>50.58</v>
      </c>
      <c r="F57">
        <v>21.68</v>
      </c>
      <c r="G57" t="s">
        <v>32</v>
      </c>
      <c r="H57" t="s">
        <v>33</v>
      </c>
      <c r="I57" t="s">
        <v>218</v>
      </c>
      <c r="J57" t="s">
        <v>47</v>
      </c>
      <c r="K57">
        <v>5</v>
      </c>
      <c r="L57" s="1">
        <v>722</v>
      </c>
      <c r="M57" t="s">
        <v>26</v>
      </c>
      <c r="N57">
        <v>2018</v>
      </c>
      <c r="O57" t="s">
        <v>70</v>
      </c>
      <c r="P57" t="s">
        <v>71</v>
      </c>
      <c r="Q57" t="s">
        <v>72</v>
      </c>
      <c r="R57" s="9">
        <f>Sheet1[[#This Row],[Price]]*Sheet1[[#This Row],[Quantity]]</f>
        <v>3610</v>
      </c>
    </row>
    <row r="58" spans="1:18" x14ac:dyDescent="0.35">
      <c r="A58" t="s">
        <v>18</v>
      </c>
      <c r="B58" t="s">
        <v>219</v>
      </c>
      <c r="C58" t="s">
        <v>220</v>
      </c>
      <c r="D58" t="s">
        <v>21</v>
      </c>
      <c r="E58">
        <v>54.22</v>
      </c>
      <c r="F58">
        <v>21.75</v>
      </c>
      <c r="G58" t="s">
        <v>22</v>
      </c>
      <c r="H58" t="s">
        <v>23</v>
      </c>
      <c r="I58" t="s">
        <v>221</v>
      </c>
      <c r="J58" t="s">
        <v>86</v>
      </c>
      <c r="K58">
        <v>30</v>
      </c>
      <c r="L58" s="1">
        <v>373</v>
      </c>
      <c r="M58" t="s">
        <v>26</v>
      </c>
      <c r="N58">
        <v>2018</v>
      </c>
      <c r="O58" t="s">
        <v>115</v>
      </c>
      <c r="P58" t="s">
        <v>58</v>
      </c>
      <c r="Q58" t="s">
        <v>59</v>
      </c>
      <c r="R58" s="9">
        <f>Sheet1[[#This Row],[Price]]*Sheet1[[#This Row],[Quantity]]</f>
        <v>11190</v>
      </c>
    </row>
    <row r="59" spans="1:18" x14ac:dyDescent="0.35">
      <c r="A59" t="s">
        <v>18</v>
      </c>
      <c r="B59" t="s">
        <v>222</v>
      </c>
      <c r="C59" t="s">
        <v>223</v>
      </c>
      <c r="D59" t="s">
        <v>21</v>
      </c>
      <c r="E59">
        <v>54.44</v>
      </c>
      <c r="F59">
        <v>18.55</v>
      </c>
      <c r="G59" t="s">
        <v>22</v>
      </c>
      <c r="H59" t="s">
        <v>23</v>
      </c>
      <c r="I59" t="s">
        <v>224</v>
      </c>
      <c r="J59" t="s">
        <v>134</v>
      </c>
      <c r="K59">
        <v>20</v>
      </c>
      <c r="L59" s="1">
        <v>206</v>
      </c>
      <c r="M59" t="s">
        <v>26</v>
      </c>
      <c r="N59">
        <v>2018</v>
      </c>
      <c r="O59" t="s">
        <v>36</v>
      </c>
      <c r="P59" t="s">
        <v>28</v>
      </c>
      <c r="Q59" t="s">
        <v>29</v>
      </c>
      <c r="R59" s="9">
        <f>Sheet1[[#This Row],[Price]]*Sheet1[[#This Row],[Quantity]]</f>
        <v>4120</v>
      </c>
    </row>
    <row r="60" spans="1:18" x14ac:dyDescent="0.35">
      <c r="A60" t="s">
        <v>18</v>
      </c>
      <c r="B60" t="s">
        <v>225</v>
      </c>
      <c r="C60" t="s">
        <v>226</v>
      </c>
      <c r="D60" t="s">
        <v>21</v>
      </c>
      <c r="E60">
        <v>51.3</v>
      </c>
      <c r="F60">
        <v>17.059999999999999</v>
      </c>
      <c r="G60" t="s">
        <v>22</v>
      </c>
      <c r="H60" t="s">
        <v>79</v>
      </c>
      <c r="I60" t="s">
        <v>85</v>
      </c>
      <c r="J60" t="s">
        <v>86</v>
      </c>
      <c r="K60">
        <v>15</v>
      </c>
      <c r="L60" s="1">
        <v>249</v>
      </c>
      <c r="M60" t="s">
        <v>26</v>
      </c>
      <c r="N60">
        <v>2018</v>
      </c>
      <c r="O60" t="s">
        <v>76</v>
      </c>
      <c r="P60" t="s">
        <v>42</v>
      </c>
      <c r="Q60" t="s">
        <v>43</v>
      </c>
      <c r="R60" s="9">
        <f>Sheet1[[#This Row],[Price]]*Sheet1[[#This Row],[Quantity]]</f>
        <v>3735</v>
      </c>
    </row>
    <row r="61" spans="1:18" x14ac:dyDescent="0.35">
      <c r="A61" t="s">
        <v>18</v>
      </c>
      <c r="B61" t="s">
        <v>227</v>
      </c>
      <c r="C61" t="s">
        <v>228</v>
      </c>
      <c r="D61" t="s">
        <v>21</v>
      </c>
      <c r="E61">
        <v>50.47</v>
      </c>
      <c r="F61">
        <v>17.329999999999998</v>
      </c>
      <c r="G61" t="s">
        <v>32</v>
      </c>
      <c r="H61" t="s">
        <v>33</v>
      </c>
      <c r="I61" t="s">
        <v>229</v>
      </c>
      <c r="J61" t="s">
        <v>86</v>
      </c>
      <c r="K61">
        <v>4</v>
      </c>
      <c r="L61" s="1">
        <v>26</v>
      </c>
      <c r="M61" t="s">
        <v>26</v>
      </c>
      <c r="N61">
        <v>2018</v>
      </c>
      <c r="O61" t="s">
        <v>105</v>
      </c>
      <c r="P61" t="s">
        <v>71</v>
      </c>
      <c r="Q61" t="s">
        <v>72</v>
      </c>
      <c r="R61" s="9">
        <f>Sheet1[[#This Row],[Price]]*Sheet1[[#This Row],[Quantity]]</f>
        <v>104</v>
      </c>
    </row>
    <row r="62" spans="1:18" x14ac:dyDescent="0.35">
      <c r="A62" t="s">
        <v>18</v>
      </c>
      <c r="B62" t="s">
        <v>230</v>
      </c>
      <c r="C62" t="s">
        <v>231</v>
      </c>
      <c r="D62" t="s">
        <v>21</v>
      </c>
      <c r="E62">
        <v>52.33</v>
      </c>
      <c r="F62">
        <v>16.88</v>
      </c>
      <c r="G62" t="s">
        <v>22</v>
      </c>
      <c r="H62" t="s">
        <v>23</v>
      </c>
      <c r="I62" t="s">
        <v>46</v>
      </c>
      <c r="J62" t="s">
        <v>47</v>
      </c>
      <c r="K62">
        <v>2</v>
      </c>
      <c r="L62" s="1">
        <v>435</v>
      </c>
      <c r="M62" t="s">
        <v>232</v>
      </c>
      <c r="N62">
        <v>2018</v>
      </c>
      <c r="O62" t="s">
        <v>57</v>
      </c>
      <c r="P62" t="s">
        <v>58</v>
      </c>
      <c r="Q62" t="s">
        <v>59</v>
      </c>
      <c r="R62" s="9">
        <f>Sheet1[[#This Row],[Price]]*Sheet1[[#This Row],[Quantity]]</f>
        <v>870</v>
      </c>
    </row>
    <row r="63" spans="1:18" x14ac:dyDescent="0.35">
      <c r="A63" t="s">
        <v>18</v>
      </c>
      <c r="B63" t="s">
        <v>233</v>
      </c>
      <c r="C63" t="s">
        <v>234</v>
      </c>
      <c r="D63" t="s">
        <v>21</v>
      </c>
      <c r="E63">
        <v>52.25</v>
      </c>
      <c r="F63">
        <v>19.62</v>
      </c>
      <c r="G63" t="s">
        <v>22</v>
      </c>
      <c r="H63" t="s">
        <v>79</v>
      </c>
      <c r="I63" t="s">
        <v>235</v>
      </c>
      <c r="J63" t="s">
        <v>47</v>
      </c>
      <c r="K63">
        <v>10</v>
      </c>
      <c r="L63" s="1">
        <v>179</v>
      </c>
      <c r="M63" t="s">
        <v>26</v>
      </c>
      <c r="N63">
        <v>2018</v>
      </c>
      <c r="O63" t="s">
        <v>70</v>
      </c>
      <c r="P63" t="s">
        <v>71</v>
      </c>
      <c r="Q63" t="s">
        <v>72</v>
      </c>
      <c r="R63" s="9">
        <f>Sheet1[[#This Row],[Price]]*Sheet1[[#This Row],[Quantity]]</f>
        <v>1790</v>
      </c>
    </row>
    <row r="64" spans="1:18" x14ac:dyDescent="0.35">
      <c r="A64" t="s">
        <v>18</v>
      </c>
      <c r="B64" t="s">
        <v>236</v>
      </c>
      <c r="C64" t="s">
        <v>237</v>
      </c>
      <c r="D64" t="s">
        <v>21</v>
      </c>
      <c r="E64">
        <v>51.27</v>
      </c>
      <c r="F64">
        <v>15.93</v>
      </c>
      <c r="G64" t="s">
        <v>32</v>
      </c>
      <c r="H64" t="s">
        <v>39</v>
      </c>
      <c r="I64" t="s">
        <v>238</v>
      </c>
      <c r="J64" t="s">
        <v>86</v>
      </c>
      <c r="K64">
        <v>2</v>
      </c>
      <c r="L64" s="1">
        <v>284</v>
      </c>
      <c r="M64" t="s">
        <v>232</v>
      </c>
      <c r="N64">
        <v>2018</v>
      </c>
      <c r="O64" t="s">
        <v>115</v>
      </c>
      <c r="P64" t="s">
        <v>58</v>
      </c>
      <c r="Q64" t="s">
        <v>59</v>
      </c>
      <c r="R64" s="9">
        <f>Sheet1[[#This Row],[Price]]*Sheet1[[#This Row],[Quantity]]</f>
        <v>568</v>
      </c>
    </row>
    <row r="65" spans="1:18" x14ac:dyDescent="0.35">
      <c r="A65" t="s">
        <v>18</v>
      </c>
      <c r="B65" t="s">
        <v>239</v>
      </c>
      <c r="C65" t="s">
        <v>240</v>
      </c>
      <c r="D65" t="s">
        <v>21</v>
      </c>
      <c r="E65">
        <v>52.12</v>
      </c>
      <c r="F65">
        <v>20.67</v>
      </c>
      <c r="G65" t="s">
        <v>32</v>
      </c>
      <c r="H65" t="s">
        <v>33</v>
      </c>
      <c r="I65" t="s">
        <v>241</v>
      </c>
      <c r="J65" t="s">
        <v>47</v>
      </c>
      <c r="K65">
        <v>10</v>
      </c>
      <c r="L65" s="1">
        <v>624</v>
      </c>
      <c r="M65" t="s">
        <v>26</v>
      </c>
      <c r="N65">
        <v>2018</v>
      </c>
      <c r="O65" t="s">
        <v>52</v>
      </c>
      <c r="P65" t="s">
        <v>28</v>
      </c>
      <c r="Q65" t="s">
        <v>29</v>
      </c>
      <c r="R65" s="9">
        <f>Sheet1[[#This Row],[Price]]*Sheet1[[#This Row],[Quantity]]</f>
        <v>6240</v>
      </c>
    </row>
    <row r="66" spans="1:18" x14ac:dyDescent="0.35">
      <c r="A66" t="s">
        <v>18</v>
      </c>
      <c r="B66" t="s">
        <v>242</v>
      </c>
      <c r="C66" t="s">
        <v>243</v>
      </c>
      <c r="D66" t="s">
        <v>21</v>
      </c>
      <c r="E66">
        <v>53.56</v>
      </c>
      <c r="F66">
        <v>20.99</v>
      </c>
      <c r="G66" t="s">
        <v>22</v>
      </c>
      <c r="H66" t="s">
        <v>79</v>
      </c>
      <c r="I66" t="s">
        <v>244</v>
      </c>
      <c r="J66" t="s">
        <v>47</v>
      </c>
      <c r="K66">
        <v>4</v>
      </c>
      <c r="L66" s="1">
        <v>746</v>
      </c>
      <c r="M66" t="s">
        <v>26</v>
      </c>
      <c r="N66">
        <v>2018</v>
      </c>
      <c r="O66" t="s">
        <v>105</v>
      </c>
      <c r="P66" t="s">
        <v>71</v>
      </c>
      <c r="Q66" t="s">
        <v>72</v>
      </c>
      <c r="R66" s="9">
        <f>Sheet1[[#This Row],[Price]]*Sheet1[[#This Row],[Quantity]]</f>
        <v>2984</v>
      </c>
    </row>
    <row r="67" spans="1:18" x14ac:dyDescent="0.35">
      <c r="A67" t="s">
        <v>18</v>
      </c>
      <c r="B67" t="s">
        <v>245</v>
      </c>
      <c r="C67" t="s">
        <v>246</v>
      </c>
      <c r="D67" t="s">
        <v>21</v>
      </c>
      <c r="E67">
        <v>52.18</v>
      </c>
      <c r="F67">
        <v>22.28</v>
      </c>
      <c r="G67" t="s">
        <v>32</v>
      </c>
      <c r="H67" t="s">
        <v>33</v>
      </c>
      <c r="I67" t="s">
        <v>247</v>
      </c>
      <c r="J67" t="s">
        <v>95</v>
      </c>
      <c r="K67">
        <v>5</v>
      </c>
      <c r="L67" s="1">
        <v>628</v>
      </c>
      <c r="M67" t="s">
        <v>26</v>
      </c>
      <c r="N67">
        <v>2018</v>
      </c>
      <c r="O67" t="s">
        <v>52</v>
      </c>
      <c r="P67" t="s">
        <v>28</v>
      </c>
      <c r="Q67" t="s">
        <v>29</v>
      </c>
      <c r="R67" s="9">
        <f>Sheet1[[#This Row],[Price]]*Sheet1[[#This Row],[Quantity]]</f>
        <v>3140</v>
      </c>
    </row>
    <row r="68" spans="1:18" x14ac:dyDescent="0.35">
      <c r="A68" t="s">
        <v>18</v>
      </c>
      <c r="B68" t="s">
        <v>248</v>
      </c>
      <c r="C68" t="s">
        <v>249</v>
      </c>
      <c r="D68" t="s">
        <v>21</v>
      </c>
      <c r="E68">
        <v>53.12</v>
      </c>
      <c r="F68">
        <v>23.17</v>
      </c>
      <c r="G68" t="s">
        <v>32</v>
      </c>
      <c r="H68" t="s">
        <v>33</v>
      </c>
      <c r="I68" t="s">
        <v>250</v>
      </c>
      <c r="J68" t="s">
        <v>86</v>
      </c>
      <c r="K68">
        <v>20</v>
      </c>
      <c r="L68" s="1">
        <v>137</v>
      </c>
      <c r="M68" t="s">
        <v>26</v>
      </c>
      <c r="N68">
        <v>2018</v>
      </c>
      <c r="O68" t="s">
        <v>119</v>
      </c>
      <c r="P68" t="s">
        <v>71</v>
      </c>
      <c r="Q68" t="s">
        <v>72</v>
      </c>
      <c r="R68" s="9">
        <f>Sheet1[[#This Row],[Price]]*Sheet1[[#This Row],[Quantity]]</f>
        <v>2740</v>
      </c>
    </row>
    <row r="69" spans="1:18" x14ac:dyDescent="0.35">
      <c r="A69" t="s">
        <v>18</v>
      </c>
      <c r="B69" t="s">
        <v>251</v>
      </c>
      <c r="C69" t="s">
        <v>252</v>
      </c>
      <c r="D69" t="s">
        <v>21</v>
      </c>
      <c r="E69">
        <v>52.7</v>
      </c>
      <c r="F69">
        <v>21.08</v>
      </c>
      <c r="G69" t="s">
        <v>22</v>
      </c>
      <c r="H69" t="s">
        <v>23</v>
      </c>
      <c r="I69" t="s">
        <v>253</v>
      </c>
      <c r="J69" t="s">
        <v>86</v>
      </c>
      <c r="K69">
        <v>20</v>
      </c>
      <c r="L69" s="1">
        <v>627</v>
      </c>
      <c r="M69" t="s">
        <v>26</v>
      </c>
      <c r="N69">
        <v>2018</v>
      </c>
      <c r="O69" t="s">
        <v>70</v>
      </c>
      <c r="P69" t="s">
        <v>71</v>
      </c>
      <c r="Q69" t="s">
        <v>72</v>
      </c>
      <c r="R69" s="9">
        <f>Sheet1[[#This Row],[Price]]*Sheet1[[#This Row],[Quantity]]</f>
        <v>12540</v>
      </c>
    </row>
    <row r="70" spans="1:18" x14ac:dyDescent="0.35">
      <c r="A70" t="s">
        <v>18</v>
      </c>
      <c r="B70" t="s">
        <v>254</v>
      </c>
      <c r="C70" t="s">
        <v>255</v>
      </c>
      <c r="D70" t="s">
        <v>21</v>
      </c>
      <c r="E70">
        <v>50.32</v>
      </c>
      <c r="F70">
        <v>19.190000000000001</v>
      </c>
      <c r="G70" t="s">
        <v>22</v>
      </c>
      <c r="H70" t="s">
        <v>79</v>
      </c>
      <c r="I70" t="s">
        <v>114</v>
      </c>
      <c r="J70" t="s">
        <v>86</v>
      </c>
      <c r="K70">
        <v>24</v>
      </c>
      <c r="L70" s="1">
        <v>307</v>
      </c>
      <c r="M70" t="s">
        <v>26</v>
      </c>
      <c r="N70">
        <v>2018</v>
      </c>
      <c r="O70" t="s">
        <v>119</v>
      </c>
      <c r="P70" t="s">
        <v>71</v>
      </c>
      <c r="Q70" t="s">
        <v>72</v>
      </c>
      <c r="R70" s="9">
        <f>Sheet1[[#This Row],[Price]]*Sheet1[[#This Row],[Quantity]]</f>
        <v>7368</v>
      </c>
    </row>
    <row r="71" spans="1:18" x14ac:dyDescent="0.35">
      <c r="A71" t="s">
        <v>18</v>
      </c>
      <c r="B71" t="s">
        <v>256</v>
      </c>
      <c r="C71" t="s">
        <v>257</v>
      </c>
      <c r="D71" t="s">
        <v>21</v>
      </c>
      <c r="E71">
        <v>51.78</v>
      </c>
      <c r="F71">
        <v>21.2</v>
      </c>
      <c r="G71" t="s">
        <v>22</v>
      </c>
      <c r="H71" t="s">
        <v>23</v>
      </c>
      <c r="I71" t="s">
        <v>258</v>
      </c>
      <c r="J71" t="s">
        <v>134</v>
      </c>
      <c r="K71">
        <v>4</v>
      </c>
      <c r="L71" s="1">
        <v>713</v>
      </c>
      <c r="M71" t="s">
        <v>26</v>
      </c>
      <c r="N71">
        <v>2018</v>
      </c>
      <c r="O71" t="s">
        <v>63</v>
      </c>
      <c r="P71" t="s">
        <v>28</v>
      </c>
      <c r="Q71" t="s">
        <v>29</v>
      </c>
      <c r="R71" s="9">
        <f>Sheet1[[#This Row],[Price]]*Sheet1[[#This Row],[Quantity]]</f>
        <v>2852</v>
      </c>
    </row>
    <row r="72" spans="1:18" x14ac:dyDescent="0.35">
      <c r="A72" t="s">
        <v>18</v>
      </c>
      <c r="B72" t="s">
        <v>259</v>
      </c>
      <c r="C72" t="s">
        <v>260</v>
      </c>
      <c r="D72" t="s">
        <v>21</v>
      </c>
      <c r="E72">
        <v>53.42</v>
      </c>
      <c r="F72">
        <v>19.579999999999998</v>
      </c>
      <c r="G72" t="s">
        <v>22</v>
      </c>
      <c r="H72" t="s">
        <v>79</v>
      </c>
      <c r="I72" t="s">
        <v>40</v>
      </c>
      <c r="J72" t="s">
        <v>35</v>
      </c>
      <c r="K72">
        <v>60</v>
      </c>
      <c r="L72" s="1">
        <v>66</v>
      </c>
      <c r="M72" t="s">
        <v>26</v>
      </c>
      <c r="N72">
        <v>2018</v>
      </c>
      <c r="O72" t="s">
        <v>63</v>
      </c>
      <c r="P72" t="s">
        <v>28</v>
      </c>
      <c r="Q72" t="s">
        <v>29</v>
      </c>
      <c r="R72" s="9">
        <f>Sheet1[[#This Row],[Price]]*Sheet1[[#This Row],[Quantity]]</f>
        <v>3960</v>
      </c>
    </row>
    <row r="73" spans="1:18" x14ac:dyDescent="0.35">
      <c r="A73" t="s">
        <v>18</v>
      </c>
      <c r="B73" t="s">
        <v>261</v>
      </c>
      <c r="C73" t="s">
        <v>262</v>
      </c>
      <c r="D73" t="s">
        <v>263</v>
      </c>
      <c r="E73">
        <v>51.4</v>
      </c>
      <c r="F73">
        <v>19.68</v>
      </c>
      <c r="G73" t="s">
        <v>22</v>
      </c>
      <c r="H73" t="s">
        <v>23</v>
      </c>
      <c r="I73" t="s">
        <v>264</v>
      </c>
      <c r="J73" t="s">
        <v>95</v>
      </c>
      <c r="K73">
        <v>15</v>
      </c>
      <c r="L73" s="1">
        <v>610</v>
      </c>
      <c r="M73" t="s">
        <v>26</v>
      </c>
      <c r="N73">
        <v>2018</v>
      </c>
      <c r="O73" t="s">
        <v>115</v>
      </c>
      <c r="P73" t="s">
        <v>58</v>
      </c>
      <c r="Q73" t="s">
        <v>59</v>
      </c>
      <c r="R73" s="9">
        <f>Sheet1[[#This Row],[Price]]*Sheet1[[#This Row],[Quantity]]</f>
        <v>9150</v>
      </c>
    </row>
    <row r="74" spans="1:18" x14ac:dyDescent="0.35">
      <c r="A74" t="s">
        <v>18</v>
      </c>
      <c r="B74" t="s">
        <v>265</v>
      </c>
      <c r="C74" t="s">
        <v>266</v>
      </c>
      <c r="D74" t="s">
        <v>21</v>
      </c>
      <c r="E74">
        <v>50.67</v>
      </c>
      <c r="F74">
        <v>17.93</v>
      </c>
      <c r="G74" t="s">
        <v>32</v>
      </c>
      <c r="H74" t="s">
        <v>33</v>
      </c>
      <c r="I74" t="s">
        <v>267</v>
      </c>
      <c r="J74" t="s">
        <v>86</v>
      </c>
      <c r="K74">
        <v>10</v>
      </c>
      <c r="L74" s="1">
        <v>794</v>
      </c>
      <c r="M74" t="s">
        <v>26</v>
      </c>
      <c r="N74">
        <v>2018</v>
      </c>
      <c r="O74" t="s">
        <v>70</v>
      </c>
      <c r="P74" t="s">
        <v>71</v>
      </c>
      <c r="Q74" t="s">
        <v>72</v>
      </c>
      <c r="R74" s="9">
        <f>Sheet1[[#This Row],[Price]]*Sheet1[[#This Row],[Quantity]]</f>
        <v>7940</v>
      </c>
    </row>
    <row r="75" spans="1:18" x14ac:dyDescent="0.35">
      <c r="A75" t="s">
        <v>18</v>
      </c>
      <c r="B75" t="s">
        <v>268</v>
      </c>
      <c r="C75" t="s">
        <v>269</v>
      </c>
      <c r="D75" t="s">
        <v>21</v>
      </c>
      <c r="E75">
        <v>51.98</v>
      </c>
      <c r="F75">
        <v>22.8</v>
      </c>
      <c r="G75" t="s">
        <v>32</v>
      </c>
      <c r="H75" t="s">
        <v>33</v>
      </c>
      <c r="I75" t="s">
        <v>150</v>
      </c>
      <c r="J75" t="s">
        <v>134</v>
      </c>
      <c r="K75">
        <v>2</v>
      </c>
      <c r="L75" s="1">
        <v>164</v>
      </c>
      <c r="M75" t="s">
        <v>26</v>
      </c>
      <c r="N75">
        <v>2018</v>
      </c>
      <c r="O75" t="s">
        <v>41</v>
      </c>
      <c r="P75" t="s">
        <v>42</v>
      </c>
      <c r="Q75" t="s">
        <v>43</v>
      </c>
      <c r="R75" s="9">
        <f>Sheet1[[#This Row],[Price]]*Sheet1[[#This Row],[Quantity]]</f>
        <v>328</v>
      </c>
    </row>
    <row r="76" spans="1:18" x14ac:dyDescent="0.35">
      <c r="A76" t="s">
        <v>18</v>
      </c>
      <c r="B76" t="s">
        <v>270</v>
      </c>
      <c r="C76" t="s">
        <v>271</v>
      </c>
      <c r="D76" t="s">
        <v>21</v>
      </c>
      <c r="E76">
        <v>52.25</v>
      </c>
      <c r="F76">
        <v>15.92</v>
      </c>
      <c r="G76" t="s">
        <v>22</v>
      </c>
      <c r="H76" t="s">
        <v>23</v>
      </c>
      <c r="I76" t="s">
        <v>272</v>
      </c>
      <c r="J76" t="s">
        <v>86</v>
      </c>
      <c r="K76">
        <v>5</v>
      </c>
      <c r="L76" s="1">
        <v>659</v>
      </c>
      <c r="M76" t="s">
        <v>26</v>
      </c>
      <c r="N76">
        <v>2018</v>
      </c>
      <c r="O76" t="s">
        <v>82</v>
      </c>
      <c r="P76" t="s">
        <v>58</v>
      </c>
      <c r="Q76" t="s">
        <v>59</v>
      </c>
      <c r="R76" s="9">
        <f>Sheet1[[#This Row],[Price]]*Sheet1[[#This Row],[Quantity]]</f>
        <v>3295</v>
      </c>
    </row>
    <row r="77" spans="1:18" x14ac:dyDescent="0.35">
      <c r="A77" t="s">
        <v>18</v>
      </c>
      <c r="B77" t="s">
        <v>273</v>
      </c>
      <c r="C77" t="s">
        <v>274</v>
      </c>
      <c r="D77" t="s">
        <v>21</v>
      </c>
      <c r="E77">
        <v>54.38</v>
      </c>
      <c r="F77">
        <v>19.829999999999998</v>
      </c>
      <c r="G77" t="s">
        <v>32</v>
      </c>
      <c r="H77" t="s">
        <v>33</v>
      </c>
      <c r="I77" t="s">
        <v>275</v>
      </c>
      <c r="J77" t="s">
        <v>95</v>
      </c>
      <c r="K77">
        <v>6</v>
      </c>
      <c r="L77" s="1">
        <v>385</v>
      </c>
      <c r="M77" t="s">
        <v>232</v>
      </c>
      <c r="N77">
        <v>2018</v>
      </c>
      <c r="O77" t="s">
        <v>70</v>
      </c>
      <c r="P77" t="s">
        <v>71</v>
      </c>
      <c r="Q77" t="s">
        <v>72</v>
      </c>
      <c r="R77" s="9">
        <f>Sheet1[[#This Row],[Price]]*Sheet1[[#This Row],[Quantity]]</f>
        <v>2310</v>
      </c>
    </row>
    <row r="78" spans="1:18" x14ac:dyDescent="0.35">
      <c r="A78" t="s">
        <v>18</v>
      </c>
      <c r="B78" t="s">
        <v>276</v>
      </c>
      <c r="C78" t="s">
        <v>277</v>
      </c>
      <c r="D78" t="s">
        <v>21</v>
      </c>
      <c r="E78">
        <v>50.3</v>
      </c>
      <c r="F78">
        <v>18.68</v>
      </c>
      <c r="G78" t="s">
        <v>32</v>
      </c>
      <c r="H78" t="s">
        <v>33</v>
      </c>
      <c r="I78" t="s">
        <v>66</v>
      </c>
      <c r="J78" t="s">
        <v>25</v>
      </c>
      <c r="K78">
        <v>5</v>
      </c>
      <c r="L78" s="1">
        <v>742</v>
      </c>
      <c r="M78" t="s">
        <v>26</v>
      </c>
      <c r="N78">
        <v>2018</v>
      </c>
      <c r="O78" t="s">
        <v>36</v>
      </c>
      <c r="P78" t="s">
        <v>28</v>
      </c>
      <c r="Q78" t="s">
        <v>29</v>
      </c>
      <c r="R78" s="9">
        <f>Sheet1[[#This Row],[Price]]*Sheet1[[#This Row],[Quantity]]</f>
        <v>3710</v>
      </c>
    </row>
    <row r="79" spans="1:18" x14ac:dyDescent="0.35">
      <c r="A79" t="s">
        <v>18</v>
      </c>
      <c r="B79" t="s">
        <v>278</v>
      </c>
      <c r="C79" t="s">
        <v>279</v>
      </c>
      <c r="D79" t="s">
        <v>21</v>
      </c>
      <c r="E79">
        <v>49.75</v>
      </c>
      <c r="F79">
        <v>18.63</v>
      </c>
      <c r="G79" t="s">
        <v>32</v>
      </c>
      <c r="H79" t="s">
        <v>33</v>
      </c>
      <c r="I79" t="s">
        <v>150</v>
      </c>
      <c r="J79" t="s">
        <v>134</v>
      </c>
      <c r="K79">
        <v>3</v>
      </c>
      <c r="L79" s="1">
        <v>164</v>
      </c>
      <c r="M79" t="s">
        <v>26</v>
      </c>
      <c r="N79">
        <v>2018</v>
      </c>
      <c r="O79" t="s">
        <v>87</v>
      </c>
      <c r="P79" t="s">
        <v>42</v>
      </c>
      <c r="Q79" t="s">
        <v>43</v>
      </c>
      <c r="R79" s="9">
        <f>Sheet1[[#This Row],[Price]]*Sheet1[[#This Row],[Quantity]]</f>
        <v>492</v>
      </c>
    </row>
    <row r="80" spans="1:18" x14ac:dyDescent="0.35">
      <c r="A80" t="s">
        <v>18</v>
      </c>
      <c r="B80" t="s">
        <v>280</v>
      </c>
      <c r="C80" t="s">
        <v>281</v>
      </c>
      <c r="D80" t="s">
        <v>21</v>
      </c>
      <c r="E80">
        <v>51.8</v>
      </c>
      <c r="F80">
        <v>16.3</v>
      </c>
      <c r="G80" t="s">
        <v>22</v>
      </c>
      <c r="H80" t="s">
        <v>23</v>
      </c>
      <c r="I80" t="s">
        <v>282</v>
      </c>
      <c r="J80" t="s">
        <v>47</v>
      </c>
      <c r="K80">
        <v>10</v>
      </c>
      <c r="L80" s="1">
        <v>298</v>
      </c>
      <c r="M80" t="s">
        <v>26</v>
      </c>
      <c r="N80">
        <v>2018</v>
      </c>
      <c r="O80" t="s">
        <v>105</v>
      </c>
      <c r="P80" t="s">
        <v>71</v>
      </c>
      <c r="Q80" t="s">
        <v>72</v>
      </c>
      <c r="R80" s="9">
        <f>Sheet1[[#This Row],[Price]]*Sheet1[[#This Row],[Quantity]]</f>
        <v>2980</v>
      </c>
    </row>
    <row r="81" spans="1:18" x14ac:dyDescent="0.35">
      <c r="A81" t="s">
        <v>18</v>
      </c>
      <c r="B81" t="s">
        <v>283</v>
      </c>
      <c r="C81" t="s">
        <v>284</v>
      </c>
      <c r="D81" t="s">
        <v>21</v>
      </c>
      <c r="E81">
        <v>53.35</v>
      </c>
      <c r="F81">
        <v>18.43</v>
      </c>
      <c r="G81" t="s">
        <v>22</v>
      </c>
      <c r="H81" t="s">
        <v>23</v>
      </c>
      <c r="I81" t="s">
        <v>264</v>
      </c>
      <c r="J81" t="s">
        <v>95</v>
      </c>
      <c r="K81">
        <v>10</v>
      </c>
      <c r="L81" s="1">
        <v>610</v>
      </c>
      <c r="M81" t="s">
        <v>26</v>
      </c>
      <c r="N81">
        <v>2018</v>
      </c>
      <c r="O81" t="s">
        <v>87</v>
      </c>
      <c r="P81" t="s">
        <v>42</v>
      </c>
      <c r="Q81" t="s">
        <v>43</v>
      </c>
      <c r="R81" s="9">
        <f>Sheet1[[#This Row],[Price]]*Sheet1[[#This Row],[Quantity]]</f>
        <v>6100</v>
      </c>
    </row>
    <row r="82" spans="1:18" x14ac:dyDescent="0.35">
      <c r="A82" t="s">
        <v>18</v>
      </c>
      <c r="B82" t="s">
        <v>285</v>
      </c>
      <c r="C82" t="s">
        <v>286</v>
      </c>
      <c r="D82" t="s">
        <v>21</v>
      </c>
      <c r="E82">
        <v>50.31</v>
      </c>
      <c r="F82">
        <v>17.37</v>
      </c>
      <c r="G82" t="s">
        <v>22</v>
      </c>
      <c r="H82" t="s">
        <v>79</v>
      </c>
      <c r="I82" t="s">
        <v>287</v>
      </c>
      <c r="J82" t="s">
        <v>86</v>
      </c>
      <c r="K82">
        <v>3</v>
      </c>
      <c r="L82" s="1">
        <v>318</v>
      </c>
      <c r="M82" t="s">
        <v>26</v>
      </c>
      <c r="N82">
        <v>2018</v>
      </c>
      <c r="O82" t="s">
        <v>105</v>
      </c>
      <c r="P82" t="s">
        <v>71</v>
      </c>
      <c r="Q82" t="s">
        <v>72</v>
      </c>
      <c r="R82" s="9">
        <f>Sheet1[[#This Row],[Price]]*Sheet1[[#This Row],[Quantity]]</f>
        <v>954</v>
      </c>
    </row>
    <row r="83" spans="1:18" x14ac:dyDescent="0.35">
      <c r="A83" t="s">
        <v>18</v>
      </c>
      <c r="B83" t="s">
        <v>288</v>
      </c>
      <c r="C83" t="s">
        <v>289</v>
      </c>
      <c r="D83" t="s">
        <v>263</v>
      </c>
      <c r="E83">
        <v>53.82</v>
      </c>
      <c r="F83">
        <v>22.35</v>
      </c>
      <c r="G83" t="s">
        <v>32</v>
      </c>
      <c r="H83" t="s">
        <v>33</v>
      </c>
      <c r="I83" t="s">
        <v>290</v>
      </c>
      <c r="J83" t="s">
        <v>86</v>
      </c>
      <c r="K83">
        <v>4</v>
      </c>
      <c r="L83" s="1">
        <v>121</v>
      </c>
      <c r="M83" t="s">
        <v>26</v>
      </c>
      <c r="N83">
        <v>2018</v>
      </c>
      <c r="O83" t="s">
        <v>70</v>
      </c>
      <c r="P83" t="s">
        <v>71</v>
      </c>
      <c r="Q83" t="s">
        <v>72</v>
      </c>
      <c r="R83" s="9">
        <f>Sheet1[[#This Row],[Price]]*Sheet1[[#This Row],[Quantity]]</f>
        <v>484</v>
      </c>
    </row>
    <row r="84" spans="1:18" x14ac:dyDescent="0.35">
      <c r="A84" t="s">
        <v>18</v>
      </c>
      <c r="B84" t="s">
        <v>291</v>
      </c>
      <c r="C84" t="s">
        <v>292</v>
      </c>
      <c r="D84" t="s">
        <v>21</v>
      </c>
      <c r="E84">
        <v>50.6</v>
      </c>
      <c r="F84">
        <v>17.04</v>
      </c>
      <c r="G84" t="s">
        <v>22</v>
      </c>
      <c r="H84" t="s">
        <v>79</v>
      </c>
      <c r="I84" t="s">
        <v>293</v>
      </c>
      <c r="J84" t="s">
        <v>86</v>
      </c>
      <c r="K84">
        <v>6</v>
      </c>
      <c r="L84" s="1">
        <v>25</v>
      </c>
      <c r="M84" t="s">
        <v>26</v>
      </c>
      <c r="N84">
        <v>2018</v>
      </c>
      <c r="O84" t="s">
        <v>119</v>
      </c>
      <c r="P84" t="s">
        <v>71</v>
      </c>
      <c r="Q84" t="s">
        <v>72</v>
      </c>
      <c r="R84" s="9">
        <f>Sheet1[[#This Row],[Price]]*Sheet1[[#This Row],[Quantity]]</f>
        <v>150</v>
      </c>
    </row>
    <row r="85" spans="1:18" x14ac:dyDescent="0.35">
      <c r="A85" t="s">
        <v>18</v>
      </c>
      <c r="B85" t="s">
        <v>294</v>
      </c>
      <c r="C85" t="s">
        <v>295</v>
      </c>
      <c r="D85" t="s">
        <v>263</v>
      </c>
      <c r="E85">
        <v>51.38</v>
      </c>
      <c r="F85">
        <v>20.28</v>
      </c>
      <c r="G85" t="s">
        <v>32</v>
      </c>
      <c r="H85" t="s">
        <v>39</v>
      </c>
      <c r="I85" t="s">
        <v>296</v>
      </c>
      <c r="J85" t="s">
        <v>86</v>
      </c>
      <c r="K85">
        <v>6</v>
      </c>
      <c r="L85" s="1">
        <v>182</v>
      </c>
      <c r="M85" t="s">
        <v>26</v>
      </c>
      <c r="N85">
        <v>2018</v>
      </c>
      <c r="O85" t="s">
        <v>41</v>
      </c>
      <c r="P85" t="s">
        <v>42</v>
      </c>
      <c r="Q85" t="s">
        <v>43</v>
      </c>
      <c r="R85" s="9">
        <f>Sheet1[[#This Row],[Price]]*Sheet1[[#This Row],[Quantity]]</f>
        <v>1092</v>
      </c>
    </row>
    <row r="86" spans="1:18" x14ac:dyDescent="0.35">
      <c r="A86" t="s">
        <v>18</v>
      </c>
      <c r="B86" t="s">
        <v>297</v>
      </c>
      <c r="C86" t="s">
        <v>298</v>
      </c>
      <c r="D86" t="s">
        <v>21</v>
      </c>
      <c r="E86">
        <v>49.78</v>
      </c>
      <c r="F86">
        <v>22.77</v>
      </c>
      <c r="G86" t="s">
        <v>32</v>
      </c>
      <c r="H86" t="s">
        <v>39</v>
      </c>
      <c r="I86" t="s">
        <v>299</v>
      </c>
      <c r="J86" t="s">
        <v>25</v>
      </c>
      <c r="K86">
        <v>10</v>
      </c>
      <c r="L86" s="1">
        <v>130</v>
      </c>
      <c r="M86" t="s">
        <v>26</v>
      </c>
      <c r="N86">
        <v>2018</v>
      </c>
      <c r="O86" t="s">
        <v>57</v>
      </c>
      <c r="P86" t="s">
        <v>58</v>
      </c>
      <c r="Q86" t="s">
        <v>59</v>
      </c>
      <c r="R86" s="9">
        <f>Sheet1[[#This Row],[Price]]*Sheet1[[#This Row],[Quantity]]</f>
        <v>1300</v>
      </c>
    </row>
    <row r="87" spans="1:18" x14ac:dyDescent="0.35">
      <c r="A87" t="s">
        <v>18</v>
      </c>
      <c r="B87" t="s">
        <v>300</v>
      </c>
      <c r="C87" t="s">
        <v>301</v>
      </c>
      <c r="D87" t="s">
        <v>21</v>
      </c>
      <c r="E87">
        <v>50.02</v>
      </c>
      <c r="F87">
        <v>22.68</v>
      </c>
      <c r="G87" t="s">
        <v>22</v>
      </c>
      <c r="H87" t="s">
        <v>79</v>
      </c>
      <c r="I87" t="s">
        <v>302</v>
      </c>
      <c r="J87" t="s">
        <v>35</v>
      </c>
      <c r="K87">
        <v>10</v>
      </c>
      <c r="L87" s="1">
        <v>122</v>
      </c>
      <c r="M87" t="s">
        <v>26</v>
      </c>
      <c r="N87">
        <v>2018</v>
      </c>
      <c r="O87" t="s">
        <v>119</v>
      </c>
      <c r="P87" t="s">
        <v>71</v>
      </c>
      <c r="Q87" t="s">
        <v>72</v>
      </c>
      <c r="R87" s="9">
        <f>Sheet1[[#This Row],[Price]]*Sheet1[[#This Row],[Quantity]]</f>
        <v>1220</v>
      </c>
    </row>
    <row r="88" spans="1:18" x14ac:dyDescent="0.35">
      <c r="A88" t="s">
        <v>18</v>
      </c>
      <c r="B88" t="s">
        <v>303</v>
      </c>
      <c r="C88" t="s">
        <v>304</v>
      </c>
      <c r="D88" t="s">
        <v>21</v>
      </c>
      <c r="E88">
        <v>54.57</v>
      </c>
      <c r="F88">
        <v>18.399999999999999</v>
      </c>
      <c r="G88" t="s">
        <v>32</v>
      </c>
      <c r="H88" t="s">
        <v>33</v>
      </c>
      <c r="I88" t="s">
        <v>305</v>
      </c>
      <c r="J88" t="s">
        <v>86</v>
      </c>
      <c r="K88">
        <v>8</v>
      </c>
      <c r="L88" s="1">
        <v>655</v>
      </c>
      <c r="M88" t="s">
        <v>26</v>
      </c>
      <c r="N88">
        <v>2018</v>
      </c>
      <c r="O88" t="s">
        <v>36</v>
      </c>
      <c r="P88" t="s">
        <v>28</v>
      </c>
      <c r="Q88" t="s">
        <v>29</v>
      </c>
      <c r="R88" s="9">
        <f>Sheet1[[#This Row],[Price]]*Sheet1[[#This Row],[Quantity]]</f>
        <v>5240</v>
      </c>
    </row>
    <row r="89" spans="1:18" x14ac:dyDescent="0.35">
      <c r="A89" t="s">
        <v>18</v>
      </c>
      <c r="B89" t="s">
        <v>306</v>
      </c>
      <c r="C89" t="s">
        <v>307</v>
      </c>
      <c r="D89" t="s">
        <v>21</v>
      </c>
      <c r="E89">
        <v>52.23</v>
      </c>
      <c r="F89">
        <v>19.37</v>
      </c>
      <c r="G89" t="s">
        <v>32</v>
      </c>
      <c r="H89" t="s">
        <v>33</v>
      </c>
      <c r="I89" t="s">
        <v>308</v>
      </c>
      <c r="J89" t="s">
        <v>86</v>
      </c>
      <c r="K89">
        <v>5</v>
      </c>
      <c r="L89" s="1">
        <v>390</v>
      </c>
      <c r="M89" t="s">
        <v>26</v>
      </c>
      <c r="N89">
        <v>2018</v>
      </c>
      <c r="O89" t="s">
        <v>36</v>
      </c>
      <c r="P89" t="s">
        <v>28</v>
      </c>
      <c r="Q89" t="s">
        <v>29</v>
      </c>
      <c r="R89" s="9">
        <f>Sheet1[[#This Row],[Price]]*Sheet1[[#This Row],[Quantity]]</f>
        <v>1950</v>
      </c>
    </row>
    <row r="90" spans="1:18" x14ac:dyDescent="0.35">
      <c r="A90" t="s">
        <v>18</v>
      </c>
      <c r="B90" t="s">
        <v>309</v>
      </c>
      <c r="C90" t="s">
        <v>310</v>
      </c>
      <c r="D90" t="s">
        <v>21</v>
      </c>
      <c r="E90">
        <v>54.42</v>
      </c>
      <c r="F90">
        <v>16.420000000000002</v>
      </c>
      <c r="G90" t="s">
        <v>22</v>
      </c>
      <c r="H90" t="s">
        <v>23</v>
      </c>
      <c r="I90" t="s">
        <v>311</v>
      </c>
      <c r="J90" t="s">
        <v>95</v>
      </c>
      <c r="K90">
        <v>6</v>
      </c>
      <c r="L90" s="1">
        <v>782</v>
      </c>
      <c r="M90" t="s">
        <v>26</v>
      </c>
      <c r="N90">
        <v>2018</v>
      </c>
      <c r="O90" t="s">
        <v>105</v>
      </c>
      <c r="P90" t="s">
        <v>71</v>
      </c>
      <c r="Q90" t="s">
        <v>72</v>
      </c>
      <c r="R90" s="9">
        <f>Sheet1[[#This Row],[Price]]*Sheet1[[#This Row],[Quantity]]</f>
        <v>4692</v>
      </c>
    </row>
    <row r="91" spans="1:18" x14ac:dyDescent="0.35">
      <c r="A91" t="s">
        <v>18</v>
      </c>
      <c r="B91" t="s">
        <v>312</v>
      </c>
      <c r="C91" t="s">
        <v>313</v>
      </c>
      <c r="D91" t="s">
        <v>21</v>
      </c>
      <c r="E91">
        <v>51.11</v>
      </c>
      <c r="F91">
        <v>17.04</v>
      </c>
      <c r="G91" t="s">
        <v>22</v>
      </c>
      <c r="H91" t="s">
        <v>23</v>
      </c>
      <c r="I91" t="s">
        <v>314</v>
      </c>
      <c r="J91" t="s">
        <v>95</v>
      </c>
      <c r="K91">
        <v>6</v>
      </c>
      <c r="L91" s="1">
        <v>492</v>
      </c>
      <c r="M91" t="s">
        <v>26</v>
      </c>
      <c r="N91">
        <v>2018</v>
      </c>
      <c r="O91" t="s">
        <v>70</v>
      </c>
      <c r="P91" t="s">
        <v>71</v>
      </c>
      <c r="Q91" t="s">
        <v>72</v>
      </c>
      <c r="R91" s="9">
        <f>Sheet1[[#This Row],[Price]]*Sheet1[[#This Row],[Quantity]]</f>
        <v>2952</v>
      </c>
    </row>
    <row r="92" spans="1:18" x14ac:dyDescent="0.35">
      <c r="A92" t="s">
        <v>18</v>
      </c>
      <c r="B92" t="s">
        <v>315</v>
      </c>
      <c r="C92" t="s">
        <v>316</v>
      </c>
      <c r="D92" t="s">
        <v>21</v>
      </c>
      <c r="E92">
        <v>51</v>
      </c>
      <c r="F92">
        <v>16.329999999999998</v>
      </c>
      <c r="G92" t="s">
        <v>32</v>
      </c>
      <c r="H92" t="s">
        <v>39</v>
      </c>
      <c r="I92" t="s">
        <v>317</v>
      </c>
      <c r="J92" t="s">
        <v>25</v>
      </c>
      <c r="K92">
        <v>3</v>
      </c>
      <c r="L92" s="1">
        <v>520</v>
      </c>
      <c r="M92" t="s">
        <v>26</v>
      </c>
      <c r="N92">
        <v>2018</v>
      </c>
      <c r="O92" t="s">
        <v>87</v>
      </c>
      <c r="P92" t="s">
        <v>42</v>
      </c>
      <c r="Q92" t="s">
        <v>43</v>
      </c>
      <c r="R92" s="9">
        <f>Sheet1[[#This Row],[Price]]*Sheet1[[#This Row],[Quantity]]</f>
        <v>1560</v>
      </c>
    </row>
    <row r="93" spans="1:18" x14ac:dyDescent="0.35">
      <c r="A93" t="s">
        <v>18</v>
      </c>
      <c r="B93" t="s">
        <v>318</v>
      </c>
      <c r="C93" t="s">
        <v>319</v>
      </c>
      <c r="D93" t="s">
        <v>21</v>
      </c>
      <c r="E93">
        <v>52.77</v>
      </c>
      <c r="F93">
        <v>23.2</v>
      </c>
      <c r="G93" t="s">
        <v>22</v>
      </c>
      <c r="H93" t="s">
        <v>79</v>
      </c>
      <c r="I93" t="s">
        <v>320</v>
      </c>
      <c r="J93" t="s">
        <v>25</v>
      </c>
      <c r="K93">
        <v>6</v>
      </c>
      <c r="L93" s="1">
        <v>767</v>
      </c>
      <c r="M93" t="s">
        <v>26</v>
      </c>
      <c r="N93">
        <v>2018</v>
      </c>
      <c r="O93" t="s">
        <v>52</v>
      </c>
      <c r="P93" t="s">
        <v>28</v>
      </c>
      <c r="Q93" t="s">
        <v>29</v>
      </c>
      <c r="R93" s="9">
        <f>Sheet1[[#This Row],[Price]]*Sheet1[[#This Row],[Quantity]]</f>
        <v>4602</v>
      </c>
    </row>
    <row r="94" spans="1:18" x14ac:dyDescent="0.35">
      <c r="A94" t="s">
        <v>18</v>
      </c>
      <c r="B94" t="s">
        <v>321</v>
      </c>
      <c r="C94" t="s">
        <v>322</v>
      </c>
      <c r="D94" t="s">
        <v>21</v>
      </c>
      <c r="E94">
        <v>54.17</v>
      </c>
      <c r="F94">
        <v>17.5</v>
      </c>
      <c r="G94" t="s">
        <v>22</v>
      </c>
      <c r="H94" t="s">
        <v>23</v>
      </c>
      <c r="I94" t="s">
        <v>323</v>
      </c>
      <c r="J94" t="s">
        <v>35</v>
      </c>
      <c r="K94">
        <v>6</v>
      </c>
      <c r="L94" s="1">
        <v>452</v>
      </c>
      <c r="M94" t="s">
        <v>51</v>
      </c>
      <c r="N94">
        <v>2018</v>
      </c>
      <c r="O94" t="s">
        <v>105</v>
      </c>
      <c r="P94" t="s">
        <v>71</v>
      </c>
      <c r="Q94" t="s">
        <v>72</v>
      </c>
      <c r="R94" s="9">
        <f>Sheet1[[#This Row],[Price]]*Sheet1[[#This Row],[Quantity]]</f>
        <v>2712</v>
      </c>
    </row>
    <row r="95" spans="1:18" x14ac:dyDescent="0.35">
      <c r="A95" t="s">
        <v>18</v>
      </c>
      <c r="B95" t="s">
        <v>324</v>
      </c>
      <c r="C95" t="s">
        <v>325</v>
      </c>
      <c r="D95" t="s">
        <v>21</v>
      </c>
      <c r="E95">
        <v>51.15</v>
      </c>
      <c r="F95">
        <v>15</v>
      </c>
      <c r="G95" t="s">
        <v>32</v>
      </c>
      <c r="H95" t="s">
        <v>39</v>
      </c>
      <c r="I95" t="s">
        <v>196</v>
      </c>
      <c r="J95" t="s">
        <v>134</v>
      </c>
      <c r="K95">
        <v>12</v>
      </c>
      <c r="L95" s="1">
        <v>75</v>
      </c>
      <c r="M95" t="s">
        <v>51</v>
      </c>
      <c r="N95">
        <v>2018</v>
      </c>
      <c r="O95" t="s">
        <v>63</v>
      </c>
      <c r="P95" t="s">
        <v>28</v>
      </c>
      <c r="Q95" t="s">
        <v>29</v>
      </c>
      <c r="R95" s="9">
        <f>Sheet1[[#This Row],[Price]]*Sheet1[[#This Row],[Quantity]]</f>
        <v>900</v>
      </c>
    </row>
    <row r="96" spans="1:18" x14ac:dyDescent="0.35">
      <c r="A96" t="s">
        <v>18</v>
      </c>
      <c r="B96" t="s">
        <v>326</v>
      </c>
      <c r="C96" t="s">
        <v>327</v>
      </c>
      <c r="D96" t="s">
        <v>21</v>
      </c>
      <c r="E96">
        <v>51.03</v>
      </c>
      <c r="F96">
        <v>15.42</v>
      </c>
      <c r="G96" t="s">
        <v>22</v>
      </c>
      <c r="H96" t="s">
        <v>23</v>
      </c>
      <c r="I96" t="s">
        <v>328</v>
      </c>
      <c r="J96" t="s">
        <v>25</v>
      </c>
      <c r="K96">
        <v>20</v>
      </c>
      <c r="L96" s="1">
        <v>311</v>
      </c>
      <c r="M96" t="s">
        <v>329</v>
      </c>
      <c r="N96">
        <v>2018</v>
      </c>
      <c r="O96" t="s">
        <v>82</v>
      </c>
      <c r="P96" t="s">
        <v>58</v>
      </c>
      <c r="Q96" t="s">
        <v>59</v>
      </c>
      <c r="R96" s="9">
        <f>Sheet1[[#This Row],[Price]]*Sheet1[[#This Row],[Quantity]]</f>
        <v>6220</v>
      </c>
    </row>
    <row r="97" spans="1:18" x14ac:dyDescent="0.35">
      <c r="A97" t="s">
        <v>18</v>
      </c>
      <c r="B97" t="s">
        <v>330</v>
      </c>
      <c r="C97" t="s">
        <v>331</v>
      </c>
      <c r="D97" t="s">
        <v>263</v>
      </c>
      <c r="E97">
        <v>52.65</v>
      </c>
      <c r="F97">
        <v>19.05</v>
      </c>
      <c r="G97" t="s">
        <v>22</v>
      </c>
      <c r="H97" t="s">
        <v>23</v>
      </c>
      <c r="I97" t="s">
        <v>332</v>
      </c>
      <c r="J97" t="s">
        <v>35</v>
      </c>
      <c r="K97">
        <v>1</v>
      </c>
      <c r="L97" s="1">
        <v>401</v>
      </c>
      <c r="M97" t="s">
        <v>26</v>
      </c>
      <c r="N97">
        <v>2018</v>
      </c>
      <c r="O97" t="s">
        <v>70</v>
      </c>
      <c r="P97" t="s">
        <v>71</v>
      </c>
      <c r="Q97" t="s">
        <v>72</v>
      </c>
      <c r="R97" s="9">
        <f>Sheet1[[#This Row],[Price]]*Sheet1[[#This Row],[Quantity]]</f>
        <v>401</v>
      </c>
    </row>
    <row r="98" spans="1:18" x14ac:dyDescent="0.35">
      <c r="A98" t="s">
        <v>18</v>
      </c>
      <c r="B98" t="s">
        <v>333</v>
      </c>
      <c r="C98" t="s">
        <v>334</v>
      </c>
      <c r="D98" t="s">
        <v>21</v>
      </c>
      <c r="E98">
        <v>51.3</v>
      </c>
      <c r="F98">
        <v>22.88</v>
      </c>
      <c r="G98" t="s">
        <v>32</v>
      </c>
      <c r="H98" t="s">
        <v>39</v>
      </c>
      <c r="I98" t="s">
        <v>111</v>
      </c>
      <c r="J98" t="s">
        <v>47</v>
      </c>
      <c r="K98">
        <v>5</v>
      </c>
      <c r="L98" s="1">
        <v>414</v>
      </c>
      <c r="M98" t="s">
        <v>26</v>
      </c>
      <c r="N98">
        <v>2018</v>
      </c>
      <c r="O98" t="s">
        <v>70</v>
      </c>
      <c r="P98" t="s">
        <v>71</v>
      </c>
      <c r="Q98" t="s">
        <v>72</v>
      </c>
      <c r="R98" s="9">
        <f>Sheet1[[#This Row],[Price]]*Sheet1[[#This Row],[Quantity]]</f>
        <v>2070</v>
      </c>
    </row>
    <row r="99" spans="1:18" x14ac:dyDescent="0.35">
      <c r="A99" t="s">
        <v>18</v>
      </c>
      <c r="B99" t="s">
        <v>335</v>
      </c>
      <c r="C99" t="s">
        <v>336</v>
      </c>
      <c r="D99" t="s">
        <v>21</v>
      </c>
      <c r="E99">
        <v>50.03</v>
      </c>
      <c r="F99">
        <v>20.22</v>
      </c>
      <c r="G99" t="s">
        <v>22</v>
      </c>
      <c r="H99" t="s">
        <v>23</v>
      </c>
      <c r="I99" t="s">
        <v>337</v>
      </c>
      <c r="J99" t="s">
        <v>47</v>
      </c>
      <c r="K99">
        <v>1</v>
      </c>
      <c r="L99" s="1">
        <v>173</v>
      </c>
      <c r="M99" t="s">
        <v>329</v>
      </c>
      <c r="N99">
        <v>2018</v>
      </c>
      <c r="O99" t="s">
        <v>115</v>
      </c>
      <c r="P99" t="s">
        <v>58</v>
      </c>
      <c r="Q99" t="s">
        <v>59</v>
      </c>
      <c r="R99" s="9">
        <f>Sheet1[[#This Row],[Price]]*Sheet1[[#This Row],[Quantity]]</f>
        <v>173</v>
      </c>
    </row>
    <row r="100" spans="1:18" x14ac:dyDescent="0.35">
      <c r="A100" t="s">
        <v>18</v>
      </c>
      <c r="B100" t="s">
        <v>338</v>
      </c>
      <c r="C100" t="s">
        <v>339</v>
      </c>
      <c r="D100" t="s">
        <v>263</v>
      </c>
      <c r="E100">
        <v>50.98</v>
      </c>
      <c r="F100">
        <v>18.22</v>
      </c>
      <c r="G100" t="s">
        <v>22</v>
      </c>
      <c r="H100" t="s">
        <v>79</v>
      </c>
      <c r="I100" t="s">
        <v>66</v>
      </c>
      <c r="J100" t="s">
        <v>25</v>
      </c>
      <c r="K100">
        <v>30</v>
      </c>
      <c r="L100" s="1">
        <v>742</v>
      </c>
      <c r="M100" t="s">
        <v>26</v>
      </c>
      <c r="N100">
        <v>2018</v>
      </c>
      <c r="O100" t="s">
        <v>57</v>
      </c>
      <c r="P100" t="s">
        <v>58</v>
      </c>
      <c r="Q100" t="s">
        <v>59</v>
      </c>
      <c r="R100" s="9">
        <f>Sheet1[[#This Row],[Price]]*Sheet1[[#This Row],[Quantity]]</f>
        <v>22260</v>
      </c>
    </row>
    <row r="101" spans="1:18" x14ac:dyDescent="0.35">
      <c r="A101" t="s">
        <v>18</v>
      </c>
      <c r="B101" t="s">
        <v>340</v>
      </c>
      <c r="C101" t="s">
        <v>341</v>
      </c>
      <c r="D101" t="s">
        <v>21</v>
      </c>
      <c r="E101">
        <v>51.05</v>
      </c>
      <c r="F101">
        <v>16.18</v>
      </c>
      <c r="G101" t="s">
        <v>22</v>
      </c>
      <c r="H101" t="s">
        <v>23</v>
      </c>
      <c r="I101" t="s">
        <v>122</v>
      </c>
      <c r="J101" t="s">
        <v>86</v>
      </c>
      <c r="K101">
        <v>1</v>
      </c>
      <c r="L101" s="1">
        <v>765</v>
      </c>
      <c r="M101" t="s">
        <v>51</v>
      </c>
      <c r="N101">
        <v>2018</v>
      </c>
      <c r="O101" t="s">
        <v>27</v>
      </c>
      <c r="P101" t="s">
        <v>28</v>
      </c>
      <c r="Q101" t="s">
        <v>29</v>
      </c>
      <c r="R101" s="9">
        <f>Sheet1[[#This Row],[Price]]*Sheet1[[#This Row],[Quantity]]</f>
        <v>765</v>
      </c>
    </row>
    <row r="102" spans="1:18" x14ac:dyDescent="0.35">
      <c r="A102" t="s">
        <v>18</v>
      </c>
      <c r="B102" t="s">
        <v>342</v>
      </c>
      <c r="C102" t="s">
        <v>343</v>
      </c>
      <c r="D102" t="s">
        <v>21</v>
      </c>
      <c r="E102">
        <v>52.08</v>
      </c>
      <c r="F102">
        <v>16.649999999999999</v>
      </c>
      <c r="G102" t="s">
        <v>22</v>
      </c>
      <c r="H102" t="s">
        <v>23</v>
      </c>
      <c r="I102" t="s">
        <v>247</v>
      </c>
      <c r="J102" t="s">
        <v>95</v>
      </c>
      <c r="K102">
        <v>4</v>
      </c>
      <c r="L102" s="1">
        <v>628</v>
      </c>
      <c r="M102" t="s">
        <v>26</v>
      </c>
      <c r="N102">
        <v>2018</v>
      </c>
      <c r="O102" t="s">
        <v>76</v>
      </c>
      <c r="P102" t="s">
        <v>42</v>
      </c>
      <c r="Q102" t="s">
        <v>43</v>
      </c>
      <c r="R102" s="9">
        <f>Sheet1[[#This Row],[Price]]*Sheet1[[#This Row],[Quantity]]</f>
        <v>2512</v>
      </c>
    </row>
    <row r="103" spans="1:18" x14ac:dyDescent="0.35">
      <c r="A103" t="s">
        <v>18</v>
      </c>
      <c r="B103" t="s">
        <v>344</v>
      </c>
      <c r="C103" t="s">
        <v>345</v>
      </c>
      <c r="D103" t="s">
        <v>21</v>
      </c>
      <c r="E103">
        <v>50.87</v>
      </c>
      <c r="F103">
        <v>20.63</v>
      </c>
      <c r="G103" t="s">
        <v>32</v>
      </c>
      <c r="H103" t="s">
        <v>39</v>
      </c>
      <c r="I103" t="s">
        <v>346</v>
      </c>
      <c r="J103" t="s">
        <v>134</v>
      </c>
      <c r="K103">
        <v>4</v>
      </c>
      <c r="L103" s="1">
        <v>248</v>
      </c>
      <c r="M103" t="s">
        <v>26</v>
      </c>
      <c r="N103">
        <v>2018</v>
      </c>
      <c r="O103" t="s">
        <v>52</v>
      </c>
      <c r="P103" t="s">
        <v>28</v>
      </c>
      <c r="Q103" t="s">
        <v>29</v>
      </c>
      <c r="R103" s="9">
        <f>Sheet1[[#This Row],[Price]]*Sheet1[[#This Row],[Quantity]]</f>
        <v>992</v>
      </c>
    </row>
    <row r="104" spans="1:18" x14ac:dyDescent="0.35">
      <c r="A104" t="s">
        <v>18</v>
      </c>
      <c r="B104" t="s">
        <v>347</v>
      </c>
      <c r="C104" t="s">
        <v>348</v>
      </c>
      <c r="D104" t="s">
        <v>21</v>
      </c>
      <c r="E104">
        <v>49.56</v>
      </c>
      <c r="F104">
        <v>20.64</v>
      </c>
      <c r="G104" t="s">
        <v>22</v>
      </c>
      <c r="H104" t="s">
        <v>23</v>
      </c>
      <c r="I104" t="s">
        <v>349</v>
      </c>
      <c r="J104" t="s">
        <v>134</v>
      </c>
      <c r="K104">
        <v>10</v>
      </c>
      <c r="L104" s="1">
        <v>187</v>
      </c>
      <c r="M104" t="s">
        <v>26</v>
      </c>
      <c r="N104">
        <v>2018</v>
      </c>
      <c r="O104" t="s">
        <v>36</v>
      </c>
      <c r="P104" t="s">
        <v>28</v>
      </c>
      <c r="Q104" t="s">
        <v>29</v>
      </c>
      <c r="R104" s="9">
        <f>Sheet1[[#This Row],[Price]]*Sheet1[[#This Row],[Quantity]]</f>
        <v>1870</v>
      </c>
    </row>
    <row r="105" spans="1:18" x14ac:dyDescent="0.35">
      <c r="A105" t="s">
        <v>18</v>
      </c>
      <c r="B105" t="s">
        <v>350</v>
      </c>
      <c r="C105" t="s">
        <v>351</v>
      </c>
      <c r="D105" t="s">
        <v>21</v>
      </c>
      <c r="E105">
        <v>51.8</v>
      </c>
      <c r="F105">
        <v>15.72</v>
      </c>
      <c r="G105" t="s">
        <v>32</v>
      </c>
      <c r="H105" t="s">
        <v>39</v>
      </c>
      <c r="I105" t="s">
        <v>352</v>
      </c>
      <c r="J105" t="s">
        <v>86</v>
      </c>
      <c r="K105">
        <v>3</v>
      </c>
      <c r="L105" s="1">
        <v>681</v>
      </c>
      <c r="M105" t="s">
        <v>26</v>
      </c>
      <c r="N105">
        <v>2018</v>
      </c>
      <c r="O105" t="s">
        <v>57</v>
      </c>
      <c r="P105" t="s">
        <v>58</v>
      </c>
      <c r="Q105" t="s">
        <v>59</v>
      </c>
      <c r="R105" s="9">
        <f>Sheet1[[#This Row],[Price]]*Sheet1[[#This Row],[Quantity]]</f>
        <v>2043</v>
      </c>
    </row>
    <row r="106" spans="1:18" x14ac:dyDescent="0.35">
      <c r="A106" t="s">
        <v>18</v>
      </c>
      <c r="B106" t="s">
        <v>353</v>
      </c>
      <c r="C106" t="s">
        <v>354</v>
      </c>
      <c r="D106" t="s">
        <v>21</v>
      </c>
      <c r="E106">
        <v>53.08</v>
      </c>
      <c r="F106">
        <v>21.57</v>
      </c>
      <c r="G106" t="s">
        <v>22</v>
      </c>
      <c r="H106" t="s">
        <v>23</v>
      </c>
      <c r="I106" t="s">
        <v>85</v>
      </c>
      <c r="J106" t="s">
        <v>86</v>
      </c>
      <c r="K106">
        <v>20</v>
      </c>
      <c r="L106" s="1">
        <v>249</v>
      </c>
      <c r="M106" t="s">
        <v>26</v>
      </c>
      <c r="N106">
        <v>2018</v>
      </c>
      <c r="O106" t="s">
        <v>87</v>
      </c>
      <c r="P106" t="s">
        <v>42</v>
      </c>
      <c r="Q106" t="s">
        <v>43</v>
      </c>
      <c r="R106" s="9">
        <f>Sheet1[[#This Row],[Price]]*Sheet1[[#This Row],[Quantity]]</f>
        <v>4980</v>
      </c>
    </row>
    <row r="107" spans="1:18" x14ac:dyDescent="0.35">
      <c r="A107" t="s">
        <v>18</v>
      </c>
      <c r="B107" t="s">
        <v>355</v>
      </c>
      <c r="C107" t="s">
        <v>356</v>
      </c>
      <c r="D107" t="s">
        <v>21</v>
      </c>
      <c r="E107">
        <v>49.67</v>
      </c>
      <c r="F107">
        <v>18.87</v>
      </c>
      <c r="G107" t="s">
        <v>32</v>
      </c>
      <c r="H107" t="s">
        <v>39</v>
      </c>
      <c r="I107" t="s">
        <v>357</v>
      </c>
      <c r="J107" t="s">
        <v>95</v>
      </c>
      <c r="K107">
        <v>4</v>
      </c>
      <c r="L107" s="1">
        <v>141</v>
      </c>
      <c r="M107" t="s">
        <v>26</v>
      </c>
      <c r="N107">
        <v>2018</v>
      </c>
      <c r="O107" t="s">
        <v>57</v>
      </c>
      <c r="P107" t="s">
        <v>58</v>
      </c>
      <c r="Q107" t="s">
        <v>59</v>
      </c>
      <c r="R107" s="9">
        <f>Sheet1[[#This Row],[Price]]*Sheet1[[#This Row],[Quantity]]</f>
        <v>564</v>
      </c>
    </row>
    <row r="108" spans="1:18" x14ac:dyDescent="0.35">
      <c r="A108" t="s">
        <v>18</v>
      </c>
      <c r="B108" t="s">
        <v>358</v>
      </c>
      <c r="C108" t="s">
        <v>359</v>
      </c>
      <c r="D108" t="s">
        <v>21</v>
      </c>
      <c r="E108">
        <v>49.98</v>
      </c>
      <c r="F108">
        <v>20.43</v>
      </c>
      <c r="G108" t="s">
        <v>32</v>
      </c>
      <c r="H108" t="s">
        <v>39</v>
      </c>
      <c r="I108" t="s">
        <v>323</v>
      </c>
      <c r="J108" t="s">
        <v>35</v>
      </c>
      <c r="K108">
        <v>3</v>
      </c>
      <c r="L108" s="1">
        <v>452</v>
      </c>
      <c r="M108" t="s">
        <v>26</v>
      </c>
      <c r="N108">
        <v>2018</v>
      </c>
      <c r="O108" t="s">
        <v>52</v>
      </c>
      <c r="P108" t="s">
        <v>28</v>
      </c>
      <c r="Q108" t="s">
        <v>29</v>
      </c>
      <c r="R108" s="9">
        <f>Sheet1[[#This Row],[Price]]*Sheet1[[#This Row],[Quantity]]</f>
        <v>1356</v>
      </c>
    </row>
    <row r="109" spans="1:18" x14ac:dyDescent="0.35">
      <c r="A109" t="s">
        <v>18</v>
      </c>
      <c r="B109" t="s">
        <v>360</v>
      </c>
      <c r="C109" t="s">
        <v>361</v>
      </c>
      <c r="D109" t="s">
        <v>21</v>
      </c>
      <c r="E109">
        <v>50.03</v>
      </c>
      <c r="F109">
        <v>19.23</v>
      </c>
      <c r="G109" t="s">
        <v>22</v>
      </c>
      <c r="H109" t="s">
        <v>79</v>
      </c>
      <c r="I109" t="s">
        <v>362</v>
      </c>
      <c r="J109" t="s">
        <v>25</v>
      </c>
      <c r="K109">
        <v>10</v>
      </c>
      <c r="L109" s="1">
        <v>708</v>
      </c>
      <c r="M109" t="s">
        <v>26</v>
      </c>
      <c r="N109">
        <v>2018</v>
      </c>
      <c r="O109" t="s">
        <v>76</v>
      </c>
      <c r="P109" t="s">
        <v>42</v>
      </c>
      <c r="Q109" t="s">
        <v>43</v>
      </c>
      <c r="R109" s="9">
        <f>Sheet1[[#This Row],[Price]]*Sheet1[[#This Row],[Quantity]]</f>
        <v>7080</v>
      </c>
    </row>
    <row r="110" spans="1:18" x14ac:dyDescent="0.35">
      <c r="A110" t="s">
        <v>18</v>
      </c>
      <c r="B110" t="s">
        <v>363</v>
      </c>
      <c r="C110" t="s">
        <v>364</v>
      </c>
      <c r="D110" t="s">
        <v>21</v>
      </c>
      <c r="E110">
        <v>50.3</v>
      </c>
      <c r="F110">
        <v>19.170000000000002</v>
      </c>
      <c r="G110" t="s">
        <v>32</v>
      </c>
      <c r="H110" t="s">
        <v>33</v>
      </c>
      <c r="I110" t="s">
        <v>66</v>
      </c>
      <c r="J110" t="s">
        <v>25</v>
      </c>
      <c r="K110">
        <v>4</v>
      </c>
      <c r="L110" s="1">
        <v>742</v>
      </c>
      <c r="M110" t="s">
        <v>91</v>
      </c>
      <c r="N110">
        <v>2018</v>
      </c>
      <c r="O110" t="s">
        <v>119</v>
      </c>
      <c r="P110" t="s">
        <v>71</v>
      </c>
      <c r="Q110" t="s">
        <v>72</v>
      </c>
      <c r="R110" s="9">
        <f>Sheet1[[#This Row],[Price]]*Sheet1[[#This Row],[Quantity]]</f>
        <v>2968</v>
      </c>
    </row>
    <row r="111" spans="1:18" x14ac:dyDescent="0.35">
      <c r="A111" t="s">
        <v>18</v>
      </c>
      <c r="B111" t="s">
        <v>365</v>
      </c>
      <c r="C111" t="s">
        <v>366</v>
      </c>
      <c r="D111" t="s">
        <v>21</v>
      </c>
      <c r="E111">
        <v>50.17</v>
      </c>
      <c r="F111">
        <v>18.899999999999999</v>
      </c>
      <c r="G111" t="s">
        <v>22</v>
      </c>
      <c r="H111" t="s">
        <v>79</v>
      </c>
      <c r="I111" t="s">
        <v>367</v>
      </c>
      <c r="J111" t="s">
        <v>86</v>
      </c>
      <c r="K111">
        <v>10</v>
      </c>
      <c r="L111" s="1">
        <v>34</v>
      </c>
      <c r="M111" t="s">
        <v>26</v>
      </c>
      <c r="N111">
        <v>2018</v>
      </c>
      <c r="O111" t="s">
        <v>57</v>
      </c>
      <c r="P111" t="s">
        <v>58</v>
      </c>
      <c r="Q111" t="s">
        <v>59</v>
      </c>
      <c r="R111" s="9">
        <f>Sheet1[[#This Row],[Price]]*Sheet1[[#This Row],[Quantity]]</f>
        <v>340</v>
      </c>
    </row>
    <row r="112" spans="1:18" x14ac:dyDescent="0.35">
      <c r="A112" t="s">
        <v>18</v>
      </c>
      <c r="B112" t="s">
        <v>368</v>
      </c>
      <c r="C112" t="s">
        <v>369</v>
      </c>
      <c r="D112" t="s">
        <v>21</v>
      </c>
      <c r="E112">
        <v>50.06</v>
      </c>
      <c r="F112">
        <v>22.49</v>
      </c>
      <c r="G112" t="s">
        <v>32</v>
      </c>
      <c r="H112" t="s">
        <v>39</v>
      </c>
      <c r="I112" t="s">
        <v>370</v>
      </c>
      <c r="J112" t="s">
        <v>35</v>
      </c>
      <c r="K112">
        <v>5</v>
      </c>
      <c r="L112" s="1">
        <v>400</v>
      </c>
      <c r="M112" t="s">
        <v>26</v>
      </c>
      <c r="N112">
        <v>2018</v>
      </c>
      <c r="O112" t="s">
        <v>87</v>
      </c>
      <c r="P112" t="s">
        <v>42</v>
      </c>
      <c r="Q112" t="s">
        <v>43</v>
      </c>
      <c r="R112" s="9">
        <f>Sheet1[[#This Row],[Price]]*Sheet1[[#This Row],[Quantity]]</f>
        <v>2000</v>
      </c>
    </row>
    <row r="113" spans="1:18" x14ac:dyDescent="0.35">
      <c r="A113" t="s">
        <v>18</v>
      </c>
      <c r="B113" t="s">
        <v>371</v>
      </c>
      <c r="C113" t="s">
        <v>372</v>
      </c>
      <c r="D113" t="s">
        <v>21</v>
      </c>
      <c r="E113">
        <v>53.18</v>
      </c>
      <c r="F113">
        <v>22.08</v>
      </c>
      <c r="G113" t="s">
        <v>32</v>
      </c>
      <c r="H113" t="s">
        <v>33</v>
      </c>
      <c r="I113" t="s">
        <v>373</v>
      </c>
      <c r="J113" t="s">
        <v>25</v>
      </c>
      <c r="K113">
        <v>6</v>
      </c>
      <c r="L113" s="1">
        <v>140</v>
      </c>
      <c r="M113" t="s">
        <v>91</v>
      </c>
      <c r="N113">
        <v>2018</v>
      </c>
      <c r="O113" t="s">
        <v>119</v>
      </c>
      <c r="P113" t="s">
        <v>71</v>
      </c>
      <c r="Q113" t="s">
        <v>72</v>
      </c>
      <c r="R113" s="9">
        <f>Sheet1[[#This Row],[Price]]*Sheet1[[#This Row],[Quantity]]</f>
        <v>840</v>
      </c>
    </row>
    <row r="114" spans="1:18" x14ac:dyDescent="0.35">
      <c r="A114" t="s">
        <v>18</v>
      </c>
      <c r="B114" t="s">
        <v>374</v>
      </c>
      <c r="C114" t="s">
        <v>375</v>
      </c>
      <c r="D114" t="s">
        <v>21</v>
      </c>
      <c r="E114">
        <v>49.66</v>
      </c>
      <c r="F114">
        <v>21.16</v>
      </c>
      <c r="G114" t="s">
        <v>22</v>
      </c>
      <c r="H114" t="s">
        <v>79</v>
      </c>
      <c r="I114" t="s">
        <v>376</v>
      </c>
      <c r="J114" t="s">
        <v>47</v>
      </c>
      <c r="K114">
        <v>5</v>
      </c>
      <c r="L114" s="1">
        <v>113</v>
      </c>
      <c r="M114" t="s">
        <v>26</v>
      </c>
      <c r="N114">
        <v>2018</v>
      </c>
      <c r="O114" t="s">
        <v>41</v>
      </c>
      <c r="P114" t="s">
        <v>42</v>
      </c>
      <c r="Q114" t="s">
        <v>43</v>
      </c>
      <c r="R114" s="9">
        <f>Sheet1[[#This Row],[Price]]*Sheet1[[#This Row],[Quantity]]</f>
        <v>565</v>
      </c>
    </row>
    <row r="115" spans="1:18" x14ac:dyDescent="0.35">
      <c r="A115" t="s">
        <v>18</v>
      </c>
      <c r="B115" t="s">
        <v>377</v>
      </c>
      <c r="C115" t="s">
        <v>378</v>
      </c>
      <c r="D115" t="s">
        <v>21</v>
      </c>
      <c r="E115">
        <v>54.17</v>
      </c>
      <c r="F115">
        <v>15.57</v>
      </c>
      <c r="G115" t="s">
        <v>32</v>
      </c>
      <c r="H115" t="s">
        <v>39</v>
      </c>
      <c r="I115" t="s">
        <v>379</v>
      </c>
      <c r="J115" t="s">
        <v>134</v>
      </c>
      <c r="K115">
        <v>11</v>
      </c>
      <c r="L115" s="1">
        <v>408</v>
      </c>
      <c r="M115" t="s">
        <v>26</v>
      </c>
      <c r="N115">
        <v>2018</v>
      </c>
      <c r="O115" t="s">
        <v>76</v>
      </c>
      <c r="P115" t="s">
        <v>42</v>
      </c>
      <c r="Q115" t="s">
        <v>43</v>
      </c>
      <c r="R115" s="9">
        <f>Sheet1[[#This Row],[Price]]*Sheet1[[#This Row],[Quantity]]</f>
        <v>4488</v>
      </c>
    </row>
    <row r="116" spans="1:18" x14ac:dyDescent="0.35">
      <c r="A116" t="s">
        <v>18</v>
      </c>
      <c r="B116" t="s">
        <v>380</v>
      </c>
      <c r="C116" t="s">
        <v>381</v>
      </c>
      <c r="D116" t="s">
        <v>21</v>
      </c>
      <c r="E116">
        <v>53.74</v>
      </c>
      <c r="F116">
        <v>18.93</v>
      </c>
      <c r="G116" t="s">
        <v>32</v>
      </c>
      <c r="H116" t="s">
        <v>39</v>
      </c>
      <c r="I116" t="s">
        <v>382</v>
      </c>
      <c r="J116" t="s">
        <v>95</v>
      </c>
      <c r="K116">
        <v>3</v>
      </c>
      <c r="L116" s="1">
        <v>590</v>
      </c>
      <c r="M116" t="s">
        <v>91</v>
      </c>
      <c r="N116">
        <v>2018</v>
      </c>
      <c r="O116" t="s">
        <v>57</v>
      </c>
      <c r="P116" t="s">
        <v>58</v>
      </c>
      <c r="Q116" t="s">
        <v>59</v>
      </c>
      <c r="R116" s="9">
        <f>Sheet1[[#This Row],[Price]]*Sheet1[[#This Row],[Quantity]]</f>
        <v>1770</v>
      </c>
    </row>
    <row r="117" spans="1:18" x14ac:dyDescent="0.35">
      <c r="A117" t="s">
        <v>18</v>
      </c>
      <c r="B117" t="s">
        <v>383</v>
      </c>
      <c r="C117" t="s">
        <v>384</v>
      </c>
      <c r="D117" t="s">
        <v>263</v>
      </c>
      <c r="E117">
        <v>53.12</v>
      </c>
      <c r="F117">
        <v>18</v>
      </c>
      <c r="G117" t="s">
        <v>22</v>
      </c>
      <c r="H117" t="s">
        <v>23</v>
      </c>
      <c r="I117" t="s">
        <v>332</v>
      </c>
      <c r="J117" t="s">
        <v>35</v>
      </c>
      <c r="K117">
        <v>1</v>
      </c>
      <c r="L117" s="1">
        <v>401</v>
      </c>
      <c r="M117" t="s">
        <v>26</v>
      </c>
      <c r="N117">
        <v>2018</v>
      </c>
      <c r="O117" t="s">
        <v>70</v>
      </c>
      <c r="P117" t="s">
        <v>71</v>
      </c>
      <c r="Q117" t="s">
        <v>72</v>
      </c>
      <c r="R117" s="9">
        <f>Sheet1[[#This Row],[Price]]*Sheet1[[#This Row],[Quantity]]</f>
        <v>401</v>
      </c>
    </row>
    <row r="118" spans="1:18" x14ac:dyDescent="0.35">
      <c r="A118" t="s">
        <v>18</v>
      </c>
      <c r="B118" t="s">
        <v>385</v>
      </c>
      <c r="C118" t="s">
        <v>386</v>
      </c>
      <c r="D118" t="s">
        <v>21</v>
      </c>
      <c r="E118">
        <v>51.79</v>
      </c>
      <c r="F118">
        <v>14.97</v>
      </c>
      <c r="G118" t="s">
        <v>22</v>
      </c>
      <c r="H118" t="s">
        <v>23</v>
      </c>
      <c r="I118" t="s">
        <v>332</v>
      </c>
      <c r="J118" t="s">
        <v>35</v>
      </c>
      <c r="K118">
        <v>20</v>
      </c>
      <c r="L118" s="1">
        <v>401</v>
      </c>
      <c r="M118" t="s">
        <v>26</v>
      </c>
      <c r="N118">
        <v>2018</v>
      </c>
      <c r="O118" t="s">
        <v>70</v>
      </c>
      <c r="P118" t="s">
        <v>71</v>
      </c>
      <c r="Q118" t="s">
        <v>72</v>
      </c>
      <c r="R118" s="9">
        <f>Sheet1[[#This Row],[Price]]*Sheet1[[#This Row],[Quantity]]</f>
        <v>8020</v>
      </c>
    </row>
    <row r="119" spans="1:18" x14ac:dyDescent="0.35">
      <c r="A119" t="s">
        <v>18</v>
      </c>
      <c r="B119" t="s">
        <v>387</v>
      </c>
      <c r="C119" t="s">
        <v>388</v>
      </c>
      <c r="D119" t="s">
        <v>21</v>
      </c>
      <c r="E119">
        <v>50.93</v>
      </c>
      <c r="F119">
        <v>21.4</v>
      </c>
      <c r="G119" t="s">
        <v>32</v>
      </c>
      <c r="H119" t="s">
        <v>39</v>
      </c>
      <c r="I119" t="s">
        <v>389</v>
      </c>
      <c r="J119" t="s">
        <v>47</v>
      </c>
      <c r="K119">
        <v>6</v>
      </c>
      <c r="L119" s="1">
        <v>301</v>
      </c>
      <c r="M119" t="s">
        <v>26</v>
      </c>
      <c r="N119">
        <v>2018</v>
      </c>
      <c r="O119" t="s">
        <v>52</v>
      </c>
      <c r="P119" t="s">
        <v>28</v>
      </c>
      <c r="Q119" t="s">
        <v>29</v>
      </c>
      <c r="R119" s="9">
        <f>Sheet1[[#This Row],[Price]]*Sheet1[[#This Row],[Quantity]]</f>
        <v>1806</v>
      </c>
    </row>
    <row r="120" spans="1:18" x14ac:dyDescent="0.35">
      <c r="A120" t="s">
        <v>18</v>
      </c>
      <c r="B120" t="s">
        <v>390</v>
      </c>
      <c r="C120" t="s">
        <v>391</v>
      </c>
      <c r="D120" t="s">
        <v>21</v>
      </c>
      <c r="E120">
        <v>50.26</v>
      </c>
      <c r="F120">
        <v>18.850000000000001</v>
      </c>
      <c r="G120" t="s">
        <v>32</v>
      </c>
      <c r="H120" t="s">
        <v>39</v>
      </c>
      <c r="I120" t="s">
        <v>392</v>
      </c>
      <c r="J120" t="s">
        <v>86</v>
      </c>
      <c r="K120">
        <v>10</v>
      </c>
      <c r="L120" s="1">
        <v>343</v>
      </c>
      <c r="M120" t="s">
        <v>26</v>
      </c>
      <c r="N120">
        <v>2018</v>
      </c>
      <c r="O120" t="s">
        <v>52</v>
      </c>
      <c r="P120" t="s">
        <v>28</v>
      </c>
      <c r="Q120" t="s">
        <v>29</v>
      </c>
      <c r="R120" s="9">
        <f>Sheet1[[#This Row],[Price]]*Sheet1[[#This Row],[Quantity]]</f>
        <v>3430</v>
      </c>
    </row>
    <row r="121" spans="1:18" x14ac:dyDescent="0.35">
      <c r="A121" t="s">
        <v>18</v>
      </c>
      <c r="B121" t="s">
        <v>393</v>
      </c>
      <c r="C121" t="s">
        <v>394</v>
      </c>
      <c r="D121" t="s">
        <v>21</v>
      </c>
      <c r="E121">
        <v>52.42</v>
      </c>
      <c r="F121">
        <v>19.47</v>
      </c>
      <c r="G121" t="s">
        <v>22</v>
      </c>
      <c r="H121" t="s">
        <v>23</v>
      </c>
      <c r="I121" t="s">
        <v>395</v>
      </c>
      <c r="J121" t="s">
        <v>86</v>
      </c>
      <c r="K121">
        <v>10</v>
      </c>
      <c r="L121" s="1">
        <v>35</v>
      </c>
      <c r="M121" t="s">
        <v>26</v>
      </c>
      <c r="N121">
        <v>2018</v>
      </c>
      <c r="O121" t="s">
        <v>82</v>
      </c>
      <c r="P121" t="s">
        <v>58</v>
      </c>
      <c r="Q121" t="s">
        <v>59</v>
      </c>
      <c r="R121" s="9">
        <f>Sheet1[[#This Row],[Price]]*Sheet1[[#This Row],[Quantity]]</f>
        <v>350</v>
      </c>
    </row>
    <row r="122" spans="1:18" x14ac:dyDescent="0.35">
      <c r="A122" t="s">
        <v>18</v>
      </c>
      <c r="B122" t="s">
        <v>396</v>
      </c>
      <c r="C122" t="s">
        <v>397</v>
      </c>
      <c r="D122" t="s">
        <v>21</v>
      </c>
      <c r="E122">
        <v>50.67</v>
      </c>
      <c r="F122">
        <v>18.21</v>
      </c>
      <c r="G122" t="s">
        <v>32</v>
      </c>
      <c r="H122" t="s">
        <v>39</v>
      </c>
      <c r="I122" t="s">
        <v>398</v>
      </c>
      <c r="J122" t="s">
        <v>35</v>
      </c>
      <c r="K122">
        <v>4</v>
      </c>
      <c r="L122" s="1">
        <v>611</v>
      </c>
      <c r="M122" t="s">
        <v>26</v>
      </c>
      <c r="N122">
        <v>2018</v>
      </c>
      <c r="O122" t="s">
        <v>63</v>
      </c>
      <c r="P122" t="s">
        <v>28</v>
      </c>
      <c r="Q122" t="s">
        <v>29</v>
      </c>
      <c r="R122" s="9">
        <f>Sheet1[[#This Row],[Price]]*Sheet1[[#This Row],[Quantity]]</f>
        <v>2444</v>
      </c>
    </row>
    <row r="123" spans="1:18" x14ac:dyDescent="0.35">
      <c r="A123" t="s">
        <v>18</v>
      </c>
      <c r="B123" t="s">
        <v>399</v>
      </c>
      <c r="C123" t="s">
        <v>400</v>
      </c>
      <c r="D123" t="s">
        <v>21</v>
      </c>
      <c r="E123">
        <v>52.43</v>
      </c>
      <c r="F123">
        <v>22.86</v>
      </c>
      <c r="G123" t="s">
        <v>22</v>
      </c>
      <c r="H123" t="s">
        <v>23</v>
      </c>
      <c r="I123" t="s">
        <v>392</v>
      </c>
      <c r="J123" t="s">
        <v>86</v>
      </c>
      <c r="K123">
        <v>2</v>
      </c>
      <c r="L123" s="1">
        <v>343</v>
      </c>
      <c r="M123" t="s">
        <v>26</v>
      </c>
      <c r="N123">
        <v>2018</v>
      </c>
      <c r="O123" t="s">
        <v>27</v>
      </c>
      <c r="P123" t="s">
        <v>28</v>
      </c>
      <c r="Q123" t="s">
        <v>29</v>
      </c>
      <c r="R123" s="9">
        <f>Sheet1[[#This Row],[Price]]*Sheet1[[#This Row],[Quantity]]</f>
        <v>686</v>
      </c>
    </row>
    <row r="124" spans="1:18" x14ac:dyDescent="0.35">
      <c r="A124" t="s">
        <v>18</v>
      </c>
      <c r="B124" t="s">
        <v>401</v>
      </c>
      <c r="C124" t="s">
        <v>402</v>
      </c>
      <c r="D124" t="s">
        <v>21</v>
      </c>
      <c r="E124">
        <v>52.59</v>
      </c>
      <c r="F124">
        <v>14.67</v>
      </c>
      <c r="G124" t="s">
        <v>22</v>
      </c>
      <c r="H124" t="s">
        <v>79</v>
      </c>
      <c r="I124" t="s">
        <v>85</v>
      </c>
      <c r="J124" t="s">
        <v>86</v>
      </c>
      <c r="K124">
        <v>1</v>
      </c>
      <c r="L124" s="1">
        <v>249</v>
      </c>
      <c r="M124" t="s">
        <v>26</v>
      </c>
      <c r="N124">
        <v>2018</v>
      </c>
      <c r="O124" t="s">
        <v>119</v>
      </c>
      <c r="P124" t="s">
        <v>71</v>
      </c>
      <c r="Q124" t="s">
        <v>72</v>
      </c>
      <c r="R124" s="9">
        <f>Sheet1[[#This Row],[Price]]*Sheet1[[#This Row],[Quantity]]</f>
        <v>249</v>
      </c>
    </row>
    <row r="125" spans="1:18" x14ac:dyDescent="0.35">
      <c r="A125" t="s">
        <v>18</v>
      </c>
      <c r="B125" t="s">
        <v>403</v>
      </c>
      <c r="C125" t="s">
        <v>404</v>
      </c>
      <c r="D125" t="s">
        <v>21</v>
      </c>
      <c r="E125">
        <v>50</v>
      </c>
      <c r="F125">
        <v>19.149999999999999</v>
      </c>
      <c r="G125" t="s">
        <v>22</v>
      </c>
      <c r="H125" t="s">
        <v>23</v>
      </c>
      <c r="I125" t="s">
        <v>405</v>
      </c>
      <c r="J125" t="s">
        <v>25</v>
      </c>
      <c r="K125">
        <v>5</v>
      </c>
      <c r="L125" s="1">
        <v>334</v>
      </c>
      <c r="M125" t="s">
        <v>26</v>
      </c>
      <c r="N125">
        <v>2018</v>
      </c>
      <c r="O125" t="s">
        <v>41</v>
      </c>
      <c r="P125" t="s">
        <v>42</v>
      </c>
      <c r="Q125" t="s">
        <v>43</v>
      </c>
      <c r="R125" s="9">
        <f>Sheet1[[#This Row],[Price]]*Sheet1[[#This Row],[Quantity]]</f>
        <v>1670</v>
      </c>
    </row>
    <row r="126" spans="1:18" x14ac:dyDescent="0.35">
      <c r="A126" t="s">
        <v>18</v>
      </c>
      <c r="B126" t="s">
        <v>406</v>
      </c>
      <c r="C126" t="s">
        <v>407</v>
      </c>
      <c r="D126" t="s">
        <v>21</v>
      </c>
      <c r="E126">
        <v>52.53</v>
      </c>
      <c r="F126">
        <v>17.600000000000001</v>
      </c>
      <c r="G126" t="s">
        <v>32</v>
      </c>
      <c r="H126" t="s">
        <v>33</v>
      </c>
      <c r="I126" t="s">
        <v>408</v>
      </c>
      <c r="J126" t="s">
        <v>86</v>
      </c>
      <c r="K126">
        <v>5</v>
      </c>
      <c r="L126" s="1">
        <v>416</v>
      </c>
      <c r="M126" t="s">
        <v>26</v>
      </c>
      <c r="N126">
        <v>2018</v>
      </c>
      <c r="O126" t="s">
        <v>36</v>
      </c>
      <c r="P126" t="s">
        <v>28</v>
      </c>
      <c r="Q126" t="s">
        <v>29</v>
      </c>
      <c r="R126" s="9">
        <f>Sheet1[[#This Row],[Price]]*Sheet1[[#This Row],[Quantity]]</f>
        <v>2080</v>
      </c>
    </row>
    <row r="127" spans="1:18" x14ac:dyDescent="0.35">
      <c r="A127" t="s">
        <v>18</v>
      </c>
      <c r="B127" t="s">
        <v>409</v>
      </c>
      <c r="C127" t="s">
        <v>410</v>
      </c>
      <c r="D127" t="s">
        <v>21</v>
      </c>
      <c r="E127">
        <v>49.72</v>
      </c>
      <c r="F127">
        <v>18.82</v>
      </c>
      <c r="G127" t="s">
        <v>22</v>
      </c>
      <c r="H127" t="s">
        <v>79</v>
      </c>
      <c r="I127" t="s">
        <v>411</v>
      </c>
      <c r="J127" t="s">
        <v>95</v>
      </c>
      <c r="K127">
        <v>1</v>
      </c>
      <c r="L127" s="1">
        <v>420</v>
      </c>
      <c r="M127" t="s">
        <v>26</v>
      </c>
      <c r="N127">
        <v>2018</v>
      </c>
      <c r="O127" t="s">
        <v>119</v>
      </c>
      <c r="P127" t="s">
        <v>71</v>
      </c>
      <c r="Q127" t="s">
        <v>72</v>
      </c>
      <c r="R127" s="9">
        <f>Sheet1[[#This Row],[Price]]*Sheet1[[#This Row],[Quantity]]</f>
        <v>420</v>
      </c>
    </row>
    <row r="128" spans="1:18" x14ac:dyDescent="0.35">
      <c r="A128" t="s">
        <v>18</v>
      </c>
      <c r="B128" t="s">
        <v>412</v>
      </c>
      <c r="C128" t="s">
        <v>413</v>
      </c>
      <c r="D128" t="s">
        <v>21</v>
      </c>
      <c r="E128">
        <v>52.34</v>
      </c>
      <c r="F128">
        <v>21.2</v>
      </c>
      <c r="G128" t="s">
        <v>22</v>
      </c>
      <c r="H128" t="s">
        <v>79</v>
      </c>
      <c r="I128" t="s">
        <v>414</v>
      </c>
      <c r="J128" t="s">
        <v>35</v>
      </c>
      <c r="K128">
        <v>3</v>
      </c>
      <c r="L128" s="1">
        <v>780</v>
      </c>
      <c r="M128" t="s">
        <v>26</v>
      </c>
      <c r="N128">
        <v>2018</v>
      </c>
      <c r="O128" t="s">
        <v>87</v>
      </c>
      <c r="P128" t="s">
        <v>42</v>
      </c>
      <c r="Q128" t="s">
        <v>43</v>
      </c>
      <c r="R128" s="9">
        <f>Sheet1[[#This Row],[Price]]*Sheet1[[#This Row],[Quantity]]</f>
        <v>2340</v>
      </c>
    </row>
    <row r="129" spans="1:18" x14ac:dyDescent="0.35">
      <c r="A129" t="s">
        <v>18</v>
      </c>
      <c r="B129" t="s">
        <v>415</v>
      </c>
      <c r="C129" t="s">
        <v>416</v>
      </c>
      <c r="D129" t="s">
        <v>21</v>
      </c>
      <c r="E129">
        <v>52.09</v>
      </c>
      <c r="F129">
        <v>21.12</v>
      </c>
      <c r="G129" t="s">
        <v>22</v>
      </c>
      <c r="H129" t="s">
        <v>23</v>
      </c>
      <c r="I129" t="s">
        <v>140</v>
      </c>
      <c r="J129" t="s">
        <v>134</v>
      </c>
      <c r="K129">
        <v>2</v>
      </c>
      <c r="L129" s="1">
        <v>511</v>
      </c>
      <c r="M129" t="s">
        <v>26</v>
      </c>
      <c r="N129">
        <v>2018</v>
      </c>
      <c r="O129" t="s">
        <v>41</v>
      </c>
      <c r="P129" t="s">
        <v>42</v>
      </c>
      <c r="Q129" t="s">
        <v>43</v>
      </c>
      <c r="R129" s="9">
        <f>Sheet1[[#This Row],[Price]]*Sheet1[[#This Row],[Quantity]]</f>
        <v>1022</v>
      </c>
    </row>
    <row r="130" spans="1:18" x14ac:dyDescent="0.35">
      <c r="A130" t="s">
        <v>18</v>
      </c>
      <c r="B130" t="s">
        <v>417</v>
      </c>
      <c r="C130" t="s">
        <v>418</v>
      </c>
      <c r="D130" t="s">
        <v>21</v>
      </c>
      <c r="E130">
        <v>50.9</v>
      </c>
      <c r="F130">
        <v>16.739999999999998</v>
      </c>
      <c r="G130" t="s">
        <v>22</v>
      </c>
      <c r="H130" t="s">
        <v>23</v>
      </c>
      <c r="I130" t="s">
        <v>419</v>
      </c>
      <c r="J130" t="s">
        <v>134</v>
      </c>
      <c r="K130">
        <v>10</v>
      </c>
      <c r="L130" s="1">
        <v>24</v>
      </c>
      <c r="M130" t="s">
        <v>26</v>
      </c>
      <c r="N130">
        <v>2018</v>
      </c>
      <c r="O130" t="s">
        <v>57</v>
      </c>
      <c r="P130" t="s">
        <v>58</v>
      </c>
      <c r="Q130" t="s">
        <v>59</v>
      </c>
      <c r="R130" s="9">
        <f>Sheet1[[#This Row],[Price]]*Sheet1[[#This Row],[Quantity]]</f>
        <v>240</v>
      </c>
    </row>
    <row r="131" spans="1:18" x14ac:dyDescent="0.35">
      <c r="A131" t="s">
        <v>18</v>
      </c>
      <c r="B131" t="s">
        <v>420</v>
      </c>
      <c r="C131" t="s">
        <v>421</v>
      </c>
      <c r="D131" t="s">
        <v>21</v>
      </c>
      <c r="E131">
        <v>51.27</v>
      </c>
      <c r="F131">
        <v>16.71</v>
      </c>
      <c r="G131" t="s">
        <v>22</v>
      </c>
      <c r="H131" t="s">
        <v>23</v>
      </c>
      <c r="I131" t="s">
        <v>422</v>
      </c>
      <c r="J131" t="s">
        <v>134</v>
      </c>
      <c r="K131">
        <v>2</v>
      </c>
      <c r="L131" s="1">
        <v>73</v>
      </c>
      <c r="M131" t="s">
        <v>26</v>
      </c>
      <c r="N131">
        <v>2018</v>
      </c>
      <c r="O131" t="s">
        <v>36</v>
      </c>
      <c r="P131" t="s">
        <v>28</v>
      </c>
      <c r="Q131" t="s">
        <v>29</v>
      </c>
      <c r="R131" s="9">
        <f>Sheet1[[#This Row],[Price]]*Sheet1[[#This Row],[Quantity]]</f>
        <v>146</v>
      </c>
    </row>
    <row r="132" spans="1:18" x14ac:dyDescent="0.35">
      <c r="A132" t="s">
        <v>18</v>
      </c>
      <c r="B132" t="s">
        <v>423</v>
      </c>
      <c r="C132" t="s">
        <v>424</v>
      </c>
      <c r="D132" t="s">
        <v>21</v>
      </c>
      <c r="E132">
        <v>54.52</v>
      </c>
      <c r="F132">
        <v>18.53</v>
      </c>
      <c r="G132" t="s">
        <v>32</v>
      </c>
      <c r="H132" t="s">
        <v>33</v>
      </c>
      <c r="I132" t="s">
        <v>235</v>
      </c>
      <c r="J132" t="s">
        <v>47</v>
      </c>
      <c r="K132">
        <v>1</v>
      </c>
      <c r="L132" s="1">
        <v>179</v>
      </c>
      <c r="M132" t="s">
        <v>26</v>
      </c>
      <c r="N132">
        <v>2018</v>
      </c>
      <c r="O132" t="s">
        <v>36</v>
      </c>
      <c r="P132" t="s">
        <v>28</v>
      </c>
      <c r="Q132" t="s">
        <v>29</v>
      </c>
      <c r="R132" s="9">
        <f>Sheet1[[#This Row],[Price]]*Sheet1[[#This Row],[Quantity]]</f>
        <v>179</v>
      </c>
    </row>
    <row r="133" spans="1:18" x14ac:dyDescent="0.35">
      <c r="A133" t="s">
        <v>18</v>
      </c>
      <c r="B133" t="s">
        <v>425</v>
      </c>
      <c r="C133" t="s">
        <v>426</v>
      </c>
      <c r="D133" t="s">
        <v>21</v>
      </c>
      <c r="E133">
        <v>50.43</v>
      </c>
      <c r="F133">
        <v>21.28</v>
      </c>
      <c r="G133" t="s">
        <v>32</v>
      </c>
      <c r="H133" t="s">
        <v>39</v>
      </c>
      <c r="I133" t="s">
        <v>398</v>
      </c>
      <c r="J133" t="s">
        <v>35</v>
      </c>
      <c r="K133">
        <v>10</v>
      </c>
      <c r="L133" s="1">
        <v>611</v>
      </c>
      <c r="M133" t="s">
        <v>427</v>
      </c>
      <c r="N133">
        <v>2018</v>
      </c>
      <c r="O133" t="s">
        <v>52</v>
      </c>
      <c r="P133" t="s">
        <v>28</v>
      </c>
      <c r="Q133" t="s">
        <v>29</v>
      </c>
      <c r="R133" s="9">
        <f>Sheet1[[#This Row],[Price]]*Sheet1[[#This Row],[Quantity]]</f>
        <v>6110</v>
      </c>
    </row>
    <row r="134" spans="1:18" x14ac:dyDescent="0.35">
      <c r="A134" t="s">
        <v>18</v>
      </c>
      <c r="B134" t="s">
        <v>428</v>
      </c>
      <c r="C134" t="s">
        <v>429</v>
      </c>
      <c r="D134" t="s">
        <v>21</v>
      </c>
      <c r="E134">
        <v>53.31</v>
      </c>
      <c r="F134">
        <v>17.940000000000001</v>
      </c>
      <c r="G134" t="s">
        <v>22</v>
      </c>
      <c r="H134" t="s">
        <v>23</v>
      </c>
      <c r="I134" t="s">
        <v>430</v>
      </c>
      <c r="J134" t="s">
        <v>86</v>
      </c>
      <c r="K134">
        <v>10</v>
      </c>
      <c r="L134" s="1">
        <v>634</v>
      </c>
      <c r="M134" t="s">
        <v>26</v>
      </c>
      <c r="N134">
        <v>2018</v>
      </c>
      <c r="O134" t="s">
        <v>87</v>
      </c>
      <c r="P134" t="s">
        <v>42</v>
      </c>
      <c r="Q134" t="s">
        <v>43</v>
      </c>
      <c r="R134" s="9">
        <f>Sheet1[[#This Row],[Price]]*Sheet1[[#This Row],[Quantity]]</f>
        <v>6340</v>
      </c>
    </row>
    <row r="135" spans="1:18" x14ac:dyDescent="0.35">
      <c r="A135" t="s">
        <v>18</v>
      </c>
      <c r="B135" t="s">
        <v>431</v>
      </c>
      <c r="C135" t="s">
        <v>432</v>
      </c>
      <c r="D135" t="s">
        <v>21</v>
      </c>
      <c r="E135">
        <v>53.02</v>
      </c>
      <c r="F135">
        <v>18.62</v>
      </c>
      <c r="G135" t="s">
        <v>32</v>
      </c>
      <c r="H135" t="s">
        <v>33</v>
      </c>
      <c r="I135" t="s">
        <v>433</v>
      </c>
      <c r="J135" t="s">
        <v>134</v>
      </c>
      <c r="K135">
        <v>12</v>
      </c>
      <c r="L135" s="1">
        <v>474</v>
      </c>
      <c r="M135" t="s">
        <v>26</v>
      </c>
      <c r="N135">
        <v>2018</v>
      </c>
      <c r="O135" t="s">
        <v>70</v>
      </c>
      <c r="P135" t="s">
        <v>71</v>
      </c>
      <c r="Q135" t="s">
        <v>72</v>
      </c>
      <c r="R135" s="9">
        <f>Sheet1[[#This Row],[Price]]*Sheet1[[#This Row],[Quantity]]</f>
        <v>5688</v>
      </c>
    </row>
    <row r="136" spans="1:18" x14ac:dyDescent="0.35">
      <c r="A136" t="s">
        <v>18</v>
      </c>
      <c r="B136" t="s">
        <v>434</v>
      </c>
      <c r="C136" t="s">
        <v>435</v>
      </c>
      <c r="D136" t="s">
        <v>21</v>
      </c>
      <c r="E136">
        <v>51.94</v>
      </c>
      <c r="F136">
        <v>15.51</v>
      </c>
      <c r="G136" t="s">
        <v>22</v>
      </c>
      <c r="H136" t="s">
        <v>79</v>
      </c>
      <c r="I136" t="s">
        <v>436</v>
      </c>
      <c r="J136" t="s">
        <v>35</v>
      </c>
      <c r="K136">
        <v>20</v>
      </c>
      <c r="L136" s="1">
        <v>33</v>
      </c>
      <c r="M136" t="s">
        <v>427</v>
      </c>
      <c r="N136">
        <v>2018</v>
      </c>
      <c r="O136" t="s">
        <v>76</v>
      </c>
      <c r="P136" t="s">
        <v>42</v>
      </c>
      <c r="Q136" t="s">
        <v>43</v>
      </c>
      <c r="R136" s="9">
        <f>Sheet1[[#This Row],[Price]]*Sheet1[[#This Row],[Quantity]]</f>
        <v>660</v>
      </c>
    </row>
    <row r="137" spans="1:18" x14ac:dyDescent="0.35">
      <c r="A137" t="s">
        <v>18</v>
      </c>
      <c r="B137" t="s">
        <v>437</v>
      </c>
      <c r="C137" t="s">
        <v>438</v>
      </c>
      <c r="D137" t="s">
        <v>21</v>
      </c>
      <c r="E137">
        <v>51.42</v>
      </c>
      <c r="F137">
        <v>21.97</v>
      </c>
      <c r="G137" t="s">
        <v>22</v>
      </c>
      <c r="H137" t="s">
        <v>79</v>
      </c>
      <c r="I137" t="s">
        <v>258</v>
      </c>
      <c r="J137" t="s">
        <v>134</v>
      </c>
      <c r="K137">
        <v>2</v>
      </c>
      <c r="L137" s="1">
        <v>713</v>
      </c>
      <c r="M137" t="s">
        <v>439</v>
      </c>
      <c r="N137">
        <v>2018</v>
      </c>
      <c r="O137" t="s">
        <v>87</v>
      </c>
      <c r="P137" t="s">
        <v>42</v>
      </c>
      <c r="Q137" t="s">
        <v>43</v>
      </c>
      <c r="R137" s="9">
        <f>Sheet1[[#This Row],[Price]]*Sheet1[[#This Row],[Quantity]]</f>
        <v>1426</v>
      </c>
    </row>
    <row r="138" spans="1:18" x14ac:dyDescent="0.35">
      <c r="A138" t="s">
        <v>18</v>
      </c>
      <c r="B138" t="s">
        <v>440</v>
      </c>
      <c r="C138" t="s">
        <v>441</v>
      </c>
      <c r="D138" t="s">
        <v>21</v>
      </c>
      <c r="E138">
        <v>54.01</v>
      </c>
      <c r="F138">
        <v>15.99</v>
      </c>
      <c r="G138" t="s">
        <v>22</v>
      </c>
      <c r="H138" t="s">
        <v>23</v>
      </c>
      <c r="I138" t="s">
        <v>442</v>
      </c>
      <c r="J138" t="s">
        <v>25</v>
      </c>
      <c r="K138">
        <v>4</v>
      </c>
      <c r="L138" s="1">
        <v>404</v>
      </c>
      <c r="M138" t="s">
        <v>26</v>
      </c>
      <c r="N138">
        <v>2018</v>
      </c>
      <c r="O138" t="s">
        <v>115</v>
      </c>
      <c r="P138" t="s">
        <v>58</v>
      </c>
      <c r="Q138" t="s">
        <v>59</v>
      </c>
      <c r="R138" s="9">
        <f>Sheet1[[#This Row],[Price]]*Sheet1[[#This Row],[Quantity]]</f>
        <v>1616</v>
      </c>
    </row>
    <row r="139" spans="1:18" x14ac:dyDescent="0.35">
      <c r="A139" t="s">
        <v>18</v>
      </c>
      <c r="B139" t="s">
        <v>443</v>
      </c>
      <c r="C139" t="s">
        <v>444</v>
      </c>
      <c r="D139" t="s">
        <v>21</v>
      </c>
      <c r="E139">
        <v>50.28</v>
      </c>
      <c r="F139">
        <v>21.43</v>
      </c>
      <c r="G139" t="s">
        <v>22</v>
      </c>
      <c r="H139" t="s">
        <v>23</v>
      </c>
      <c r="I139" t="s">
        <v>445</v>
      </c>
      <c r="J139" t="s">
        <v>86</v>
      </c>
      <c r="K139">
        <v>10</v>
      </c>
      <c r="L139" s="1">
        <v>742</v>
      </c>
      <c r="M139" t="s">
        <v>26</v>
      </c>
      <c r="N139">
        <v>2018</v>
      </c>
      <c r="O139" t="s">
        <v>119</v>
      </c>
      <c r="P139" t="s">
        <v>71</v>
      </c>
      <c r="Q139" t="s">
        <v>72</v>
      </c>
      <c r="R139" s="9">
        <f>Sheet1[[#This Row],[Price]]*Sheet1[[#This Row],[Quantity]]</f>
        <v>7420</v>
      </c>
    </row>
    <row r="140" spans="1:18" x14ac:dyDescent="0.35">
      <c r="A140" t="s">
        <v>18</v>
      </c>
      <c r="B140" t="s">
        <v>446</v>
      </c>
      <c r="C140" t="s">
        <v>447</v>
      </c>
      <c r="D140" t="s">
        <v>21</v>
      </c>
      <c r="E140">
        <v>54.03</v>
      </c>
      <c r="F140">
        <v>19.04</v>
      </c>
      <c r="G140" t="s">
        <v>22</v>
      </c>
      <c r="H140" t="s">
        <v>23</v>
      </c>
      <c r="I140" t="s">
        <v>448</v>
      </c>
      <c r="J140" t="s">
        <v>134</v>
      </c>
      <c r="K140">
        <v>15</v>
      </c>
      <c r="L140" s="1">
        <v>516</v>
      </c>
      <c r="M140" t="s">
        <v>26</v>
      </c>
      <c r="N140">
        <v>2018</v>
      </c>
      <c r="O140" t="s">
        <v>57</v>
      </c>
      <c r="P140" t="s">
        <v>58</v>
      </c>
      <c r="Q140" t="s">
        <v>59</v>
      </c>
      <c r="R140" s="9">
        <f>Sheet1[[#This Row],[Price]]*Sheet1[[#This Row],[Quantity]]</f>
        <v>7740</v>
      </c>
    </row>
    <row r="141" spans="1:18" x14ac:dyDescent="0.35">
      <c r="A141" t="s">
        <v>18</v>
      </c>
      <c r="B141" t="s">
        <v>449</v>
      </c>
      <c r="C141" t="s">
        <v>450</v>
      </c>
      <c r="D141" t="s">
        <v>21</v>
      </c>
      <c r="E141">
        <v>49.99</v>
      </c>
      <c r="F141">
        <v>20.07</v>
      </c>
      <c r="G141" t="s">
        <v>32</v>
      </c>
      <c r="H141" t="s">
        <v>39</v>
      </c>
      <c r="I141" t="s">
        <v>451</v>
      </c>
      <c r="J141" t="s">
        <v>134</v>
      </c>
      <c r="K141">
        <v>3</v>
      </c>
      <c r="L141" s="1">
        <v>262</v>
      </c>
      <c r="M141" t="s">
        <v>26</v>
      </c>
      <c r="N141">
        <v>2018</v>
      </c>
      <c r="O141" t="s">
        <v>70</v>
      </c>
      <c r="P141" t="s">
        <v>71</v>
      </c>
      <c r="Q141" t="s">
        <v>72</v>
      </c>
      <c r="R141" s="9">
        <f>Sheet1[[#This Row],[Price]]*Sheet1[[#This Row],[Quantity]]</f>
        <v>786</v>
      </c>
    </row>
    <row r="142" spans="1:18" x14ac:dyDescent="0.35">
      <c r="A142" t="s">
        <v>18</v>
      </c>
      <c r="B142" t="s">
        <v>452</v>
      </c>
      <c r="C142" t="s">
        <v>453</v>
      </c>
      <c r="D142" t="s">
        <v>21</v>
      </c>
      <c r="E142">
        <v>51.7</v>
      </c>
      <c r="F142">
        <v>17.440000000000001</v>
      </c>
      <c r="G142" t="s">
        <v>32</v>
      </c>
      <c r="H142" t="s">
        <v>33</v>
      </c>
      <c r="I142" t="s">
        <v>454</v>
      </c>
      <c r="J142" t="s">
        <v>25</v>
      </c>
      <c r="K142">
        <v>2</v>
      </c>
      <c r="L142" s="1">
        <v>201</v>
      </c>
      <c r="M142" t="s">
        <v>26</v>
      </c>
      <c r="N142">
        <v>2018</v>
      </c>
      <c r="O142" t="s">
        <v>105</v>
      </c>
      <c r="P142" t="s">
        <v>71</v>
      </c>
      <c r="Q142" t="s">
        <v>72</v>
      </c>
      <c r="R142" s="9">
        <f>Sheet1[[#This Row],[Price]]*Sheet1[[#This Row],[Quantity]]</f>
        <v>402</v>
      </c>
    </row>
    <row r="143" spans="1:18" x14ac:dyDescent="0.35">
      <c r="A143" t="s">
        <v>18</v>
      </c>
      <c r="B143" t="s">
        <v>455</v>
      </c>
      <c r="C143" t="s">
        <v>456</v>
      </c>
      <c r="D143" t="s">
        <v>21</v>
      </c>
      <c r="E143">
        <v>54.19</v>
      </c>
      <c r="F143">
        <v>16.18</v>
      </c>
      <c r="G143" t="s">
        <v>22</v>
      </c>
      <c r="H143" t="s">
        <v>23</v>
      </c>
      <c r="I143" t="s">
        <v>125</v>
      </c>
      <c r="J143" t="s">
        <v>35</v>
      </c>
      <c r="K143">
        <v>30</v>
      </c>
      <c r="L143" s="1">
        <v>215</v>
      </c>
      <c r="M143" t="s">
        <v>26</v>
      </c>
      <c r="N143">
        <v>2018</v>
      </c>
      <c r="O143" t="s">
        <v>70</v>
      </c>
      <c r="P143" t="s">
        <v>71</v>
      </c>
      <c r="Q143" t="s">
        <v>72</v>
      </c>
      <c r="R143" s="9">
        <f>Sheet1[[#This Row],[Price]]*Sheet1[[#This Row],[Quantity]]</f>
        <v>6450</v>
      </c>
    </row>
    <row r="144" spans="1:18" x14ac:dyDescent="0.35">
      <c r="A144" t="s">
        <v>18</v>
      </c>
      <c r="B144" t="s">
        <v>457</v>
      </c>
      <c r="C144" t="s">
        <v>458</v>
      </c>
      <c r="D144" t="s">
        <v>21</v>
      </c>
      <c r="E144">
        <v>51.47</v>
      </c>
      <c r="F144">
        <v>22.6</v>
      </c>
      <c r="G144" t="s">
        <v>32</v>
      </c>
      <c r="H144" t="s">
        <v>39</v>
      </c>
      <c r="I144" t="s">
        <v>459</v>
      </c>
      <c r="J144" t="s">
        <v>25</v>
      </c>
      <c r="K144">
        <v>3</v>
      </c>
      <c r="L144" s="1">
        <v>542</v>
      </c>
      <c r="M144" t="s">
        <v>26</v>
      </c>
      <c r="N144">
        <v>2018</v>
      </c>
      <c r="O144" t="s">
        <v>36</v>
      </c>
      <c r="P144" t="s">
        <v>28</v>
      </c>
      <c r="Q144" t="s">
        <v>29</v>
      </c>
      <c r="R144" s="9">
        <f>Sheet1[[#This Row],[Price]]*Sheet1[[#This Row],[Quantity]]</f>
        <v>1626</v>
      </c>
    </row>
    <row r="145" spans="1:18" x14ac:dyDescent="0.35">
      <c r="A145" t="s">
        <v>18</v>
      </c>
      <c r="B145" t="s">
        <v>460</v>
      </c>
      <c r="C145" t="s">
        <v>461</v>
      </c>
      <c r="D145" t="s">
        <v>21</v>
      </c>
      <c r="E145">
        <v>54.05</v>
      </c>
      <c r="F145">
        <v>21.15</v>
      </c>
      <c r="G145" t="s">
        <v>22</v>
      </c>
      <c r="H145" t="s">
        <v>79</v>
      </c>
      <c r="I145" t="s">
        <v>462</v>
      </c>
      <c r="J145" t="s">
        <v>47</v>
      </c>
      <c r="K145">
        <v>5</v>
      </c>
      <c r="L145" s="1">
        <v>345</v>
      </c>
      <c r="M145" t="s">
        <v>26</v>
      </c>
      <c r="N145">
        <v>2018</v>
      </c>
      <c r="O145" t="s">
        <v>87</v>
      </c>
      <c r="P145" t="s">
        <v>42</v>
      </c>
      <c r="Q145" t="s">
        <v>43</v>
      </c>
      <c r="R145" s="9">
        <f>Sheet1[[#This Row],[Price]]*Sheet1[[#This Row],[Quantity]]</f>
        <v>1725</v>
      </c>
    </row>
    <row r="146" spans="1:18" x14ac:dyDescent="0.35">
      <c r="A146" t="s">
        <v>18</v>
      </c>
      <c r="B146" t="s">
        <v>463</v>
      </c>
      <c r="C146" t="s">
        <v>464</v>
      </c>
      <c r="D146" t="s">
        <v>21</v>
      </c>
      <c r="E146">
        <v>54</v>
      </c>
      <c r="F146">
        <v>16.98</v>
      </c>
      <c r="G146" t="s">
        <v>22</v>
      </c>
      <c r="H146" t="s">
        <v>23</v>
      </c>
      <c r="I146" t="s">
        <v>140</v>
      </c>
      <c r="J146" t="s">
        <v>134</v>
      </c>
      <c r="K146">
        <v>4</v>
      </c>
      <c r="L146" s="1">
        <v>511</v>
      </c>
      <c r="M146" t="s">
        <v>26</v>
      </c>
      <c r="N146">
        <v>2018</v>
      </c>
      <c r="O146" t="s">
        <v>36</v>
      </c>
      <c r="P146" t="s">
        <v>28</v>
      </c>
      <c r="Q146" t="s">
        <v>29</v>
      </c>
      <c r="R146" s="9">
        <f>Sheet1[[#This Row],[Price]]*Sheet1[[#This Row],[Quantity]]</f>
        <v>2044</v>
      </c>
    </row>
    <row r="147" spans="1:18" x14ac:dyDescent="0.35">
      <c r="A147" t="s">
        <v>18</v>
      </c>
      <c r="B147" t="s">
        <v>465</v>
      </c>
      <c r="C147" t="s">
        <v>466</v>
      </c>
      <c r="D147" t="s">
        <v>21</v>
      </c>
      <c r="E147">
        <v>50.69</v>
      </c>
      <c r="F147">
        <v>16.37</v>
      </c>
      <c r="G147" t="s">
        <v>32</v>
      </c>
      <c r="H147" t="s">
        <v>33</v>
      </c>
      <c r="I147" t="s">
        <v>467</v>
      </c>
      <c r="J147" t="s">
        <v>86</v>
      </c>
      <c r="K147">
        <v>3</v>
      </c>
      <c r="L147" s="1">
        <v>445</v>
      </c>
      <c r="M147" t="s">
        <v>26</v>
      </c>
      <c r="N147">
        <v>2018</v>
      </c>
      <c r="O147" t="s">
        <v>87</v>
      </c>
      <c r="P147" t="s">
        <v>42</v>
      </c>
      <c r="Q147" t="s">
        <v>43</v>
      </c>
      <c r="R147" s="9">
        <f>Sheet1[[#This Row],[Price]]*Sheet1[[#This Row],[Quantity]]</f>
        <v>1335</v>
      </c>
    </row>
    <row r="148" spans="1:18" x14ac:dyDescent="0.35">
      <c r="A148" t="s">
        <v>18</v>
      </c>
      <c r="B148" t="s">
        <v>468</v>
      </c>
      <c r="C148" t="s">
        <v>469</v>
      </c>
      <c r="D148" t="s">
        <v>21</v>
      </c>
      <c r="E148">
        <v>54.55</v>
      </c>
      <c r="F148">
        <v>17.75</v>
      </c>
      <c r="G148" t="s">
        <v>22</v>
      </c>
      <c r="H148" t="s">
        <v>23</v>
      </c>
      <c r="I148" t="s">
        <v>405</v>
      </c>
      <c r="J148" t="s">
        <v>25</v>
      </c>
      <c r="K148">
        <v>1</v>
      </c>
      <c r="L148" s="1">
        <v>334</v>
      </c>
      <c r="M148" t="s">
        <v>26</v>
      </c>
      <c r="N148">
        <v>2018</v>
      </c>
      <c r="O148" t="s">
        <v>76</v>
      </c>
      <c r="P148" t="s">
        <v>42</v>
      </c>
      <c r="Q148" t="s">
        <v>43</v>
      </c>
      <c r="R148" s="9">
        <f>Sheet1[[#This Row],[Price]]*Sheet1[[#This Row],[Quantity]]</f>
        <v>334</v>
      </c>
    </row>
    <row r="149" spans="1:18" x14ac:dyDescent="0.35">
      <c r="A149" t="s">
        <v>18</v>
      </c>
      <c r="B149" t="s">
        <v>470</v>
      </c>
      <c r="C149" t="s">
        <v>471</v>
      </c>
      <c r="D149" t="s">
        <v>21</v>
      </c>
      <c r="E149">
        <v>50.2</v>
      </c>
      <c r="F149">
        <v>17.829999999999998</v>
      </c>
      <c r="G149" t="s">
        <v>32</v>
      </c>
      <c r="H149" t="s">
        <v>39</v>
      </c>
      <c r="I149" t="s">
        <v>472</v>
      </c>
      <c r="J149" t="s">
        <v>134</v>
      </c>
      <c r="K149">
        <v>1</v>
      </c>
      <c r="L149" s="1">
        <v>402</v>
      </c>
      <c r="M149" t="s">
        <v>26</v>
      </c>
      <c r="N149">
        <v>2018</v>
      </c>
      <c r="O149" t="s">
        <v>41</v>
      </c>
      <c r="P149" t="s">
        <v>42</v>
      </c>
      <c r="Q149" t="s">
        <v>43</v>
      </c>
      <c r="R149" s="9">
        <f>Sheet1[[#This Row],[Price]]*Sheet1[[#This Row],[Quantity]]</f>
        <v>402</v>
      </c>
    </row>
    <row r="150" spans="1:18" x14ac:dyDescent="0.35">
      <c r="A150" t="s">
        <v>18</v>
      </c>
      <c r="B150" t="s">
        <v>473</v>
      </c>
      <c r="C150" t="s">
        <v>474</v>
      </c>
      <c r="D150" t="s">
        <v>21</v>
      </c>
      <c r="E150">
        <v>52.22</v>
      </c>
      <c r="F150">
        <v>21.03</v>
      </c>
      <c r="G150" t="s">
        <v>32</v>
      </c>
      <c r="H150" t="s">
        <v>33</v>
      </c>
      <c r="I150" t="s">
        <v>66</v>
      </c>
      <c r="J150" t="s">
        <v>25</v>
      </c>
      <c r="K150">
        <v>2</v>
      </c>
      <c r="L150" s="1">
        <v>742</v>
      </c>
      <c r="M150" t="s">
        <v>26</v>
      </c>
      <c r="N150">
        <v>2018</v>
      </c>
      <c r="O150" t="s">
        <v>105</v>
      </c>
      <c r="P150" t="s">
        <v>71</v>
      </c>
      <c r="Q150" t="s">
        <v>72</v>
      </c>
      <c r="R150" s="9">
        <f>Sheet1[[#This Row],[Price]]*Sheet1[[#This Row],[Quantity]]</f>
        <v>1484</v>
      </c>
    </row>
    <row r="151" spans="1:18" x14ac:dyDescent="0.35">
      <c r="A151" t="s">
        <v>18</v>
      </c>
      <c r="B151" t="s">
        <v>475</v>
      </c>
      <c r="C151" t="s">
        <v>476</v>
      </c>
      <c r="D151" t="s">
        <v>21</v>
      </c>
      <c r="E151">
        <v>49.48</v>
      </c>
      <c r="F151">
        <v>20.03</v>
      </c>
      <c r="G151" t="s">
        <v>32</v>
      </c>
      <c r="H151" t="s">
        <v>39</v>
      </c>
      <c r="I151" t="s">
        <v>477</v>
      </c>
      <c r="J151" t="s">
        <v>95</v>
      </c>
      <c r="K151">
        <v>34</v>
      </c>
      <c r="L151" s="1">
        <v>390</v>
      </c>
      <c r="M151" t="s">
        <v>26</v>
      </c>
      <c r="N151">
        <v>2018</v>
      </c>
      <c r="O151" t="s">
        <v>27</v>
      </c>
      <c r="P151" t="s">
        <v>28</v>
      </c>
      <c r="Q151" t="s">
        <v>29</v>
      </c>
      <c r="R151" s="9">
        <f>Sheet1[[#This Row],[Price]]*Sheet1[[#This Row],[Quantity]]</f>
        <v>13260</v>
      </c>
    </row>
    <row r="152" spans="1:18" x14ac:dyDescent="0.35">
      <c r="A152" t="s">
        <v>18</v>
      </c>
      <c r="B152" t="s">
        <v>478</v>
      </c>
      <c r="C152" t="s">
        <v>479</v>
      </c>
      <c r="D152" t="s">
        <v>21</v>
      </c>
      <c r="E152">
        <v>52.44</v>
      </c>
      <c r="F152">
        <v>15.58</v>
      </c>
      <c r="G152" t="s">
        <v>32</v>
      </c>
      <c r="H152" t="s">
        <v>39</v>
      </c>
      <c r="I152" t="s">
        <v>480</v>
      </c>
      <c r="J152" t="s">
        <v>47</v>
      </c>
      <c r="K152">
        <v>2</v>
      </c>
      <c r="L152" s="1">
        <v>555</v>
      </c>
      <c r="M152" t="s">
        <v>26</v>
      </c>
      <c r="N152">
        <v>2018</v>
      </c>
      <c r="O152" t="s">
        <v>41</v>
      </c>
      <c r="P152" t="s">
        <v>42</v>
      </c>
      <c r="Q152" t="s">
        <v>43</v>
      </c>
      <c r="R152" s="9">
        <f>Sheet1[[#This Row],[Price]]*Sheet1[[#This Row],[Quantity]]</f>
        <v>1110</v>
      </c>
    </row>
    <row r="153" spans="1:18" x14ac:dyDescent="0.35">
      <c r="A153" t="s">
        <v>481</v>
      </c>
      <c r="B153" t="s">
        <v>482</v>
      </c>
      <c r="C153" t="s">
        <v>483</v>
      </c>
      <c r="D153" t="s">
        <v>263</v>
      </c>
      <c r="E153">
        <v>50.82</v>
      </c>
      <c r="F153">
        <v>8.77</v>
      </c>
      <c r="G153" t="s">
        <v>32</v>
      </c>
      <c r="H153" t="s">
        <v>33</v>
      </c>
      <c r="I153" t="s">
        <v>158</v>
      </c>
      <c r="J153" t="s">
        <v>47</v>
      </c>
      <c r="K153">
        <v>3</v>
      </c>
      <c r="L153" s="1">
        <v>26</v>
      </c>
      <c r="M153" t="s">
        <v>484</v>
      </c>
      <c r="N153">
        <v>2017</v>
      </c>
      <c r="O153" t="s">
        <v>27</v>
      </c>
      <c r="P153" t="s">
        <v>28</v>
      </c>
      <c r="Q153" t="s">
        <v>29</v>
      </c>
      <c r="R153" s="9">
        <f>Sheet1[[#This Row],[Price]]*Sheet1[[#This Row],[Quantity]]</f>
        <v>78</v>
      </c>
    </row>
    <row r="154" spans="1:18" x14ac:dyDescent="0.35">
      <c r="A154" t="s">
        <v>481</v>
      </c>
      <c r="B154" t="s">
        <v>485</v>
      </c>
      <c r="C154" t="s">
        <v>486</v>
      </c>
      <c r="D154" t="s">
        <v>263</v>
      </c>
      <c r="E154">
        <v>52.41</v>
      </c>
      <c r="F154">
        <v>12.56</v>
      </c>
      <c r="G154" t="s">
        <v>22</v>
      </c>
      <c r="H154" t="s">
        <v>79</v>
      </c>
      <c r="I154" t="s">
        <v>487</v>
      </c>
      <c r="J154" t="s">
        <v>86</v>
      </c>
      <c r="K154">
        <v>20</v>
      </c>
      <c r="L154" s="1">
        <v>269</v>
      </c>
      <c r="M154" t="s">
        <v>484</v>
      </c>
      <c r="N154">
        <v>2017</v>
      </c>
      <c r="O154" t="s">
        <v>105</v>
      </c>
      <c r="P154" t="s">
        <v>71</v>
      </c>
      <c r="Q154" t="s">
        <v>72</v>
      </c>
      <c r="R154" s="9">
        <f>Sheet1[[#This Row],[Price]]*Sheet1[[#This Row],[Quantity]]</f>
        <v>5380</v>
      </c>
    </row>
    <row r="155" spans="1:18" x14ac:dyDescent="0.35">
      <c r="A155" t="s">
        <v>481</v>
      </c>
      <c r="B155" t="s">
        <v>488</v>
      </c>
      <c r="C155" t="s">
        <v>489</v>
      </c>
      <c r="D155" t="s">
        <v>263</v>
      </c>
      <c r="E155">
        <v>50.1</v>
      </c>
      <c r="F155">
        <v>11.43</v>
      </c>
      <c r="G155" t="s">
        <v>32</v>
      </c>
      <c r="H155" t="s">
        <v>33</v>
      </c>
      <c r="I155" t="s">
        <v>433</v>
      </c>
      <c r="J155" t="s">
        <v>134</v>
      </c>
      <c r="K155">
        <v>10</v>
      </c>
      <c r="L155" s="1">
        <v>474</v>
      </c>
      <c r="M155" t="s">
        <v>484</v>
      </c>
      <c r="N155">
        <v>2017</v>
      </c>
      <c r="O155" t="s">
        <v>52</v>
      </c>
      <c r="P155" t="s">
        <v>28</v>
      </c>
      <c r="Q155" t="s">
        <v>29</v>
      </c>
      <c r="R155" s="9">
        <f>Sheet1[[#This Row],[Price]]*Sheet1[[#This Row],[Quantity]]</f>
        <v>4740</v>
      </c>
    </row>
    <row r="156" spans="1:18" x14ac:dyDescent="0.35">
      <c r="A156" t="s">
        <v>481</v>
      </c>
      <c r="B156" t="s">
        <v>490</v>
      </c>
      <c r="C156" t="s">
        <v>491</v>
      </c>
      <c r="D156" t="s">
        <v>263</v>
      </c>
      <c r="E156">
        <v>49.3</v>
      </c>
      <c r="F156">
        <v>10.58</v>
      </c>
      <c r="G156" t="s">
        <v>22</v>
      </c>
      <c r="H156" t="s">
        <v>79</v>
      </c>
      <c r="I156" t="s">
        <v>184</v>
      </c>
      <c r="J156" t="s">
        <v>47</v>
      </c>
      <c r="K156">
        <v>10</v>
      </c>
      <c r="L156" s="1">
        <v>60</v>
      </c>
      <c r="M156" t="s">
        <v>484</v>
      </c>
      <c r="N156">
        <v>2017</v>
      </c>
      <c r="O156" t="s">
        <v>41</v>
      </c>
      <c r="P156" t="s">
        <v>42</v>
      </c>
      <c r="Q156" t="s">
        <v>43</v>
      </c>
      <c r="R156" s="9">
        <f>Sheet1[[#This Row],[Price]]*Sheet1[[#This Row],[Quantity]]</f>
        <v>600</v>
      </c>
    </row>
    <row r="157" spans="1:18" x14ac:dyDescent="0.35">
      <c r="A157" t="s">
        <v>481</v>
      </c>
      <c r="B157" t="s">
        <v>492</v>
      </c>
      <c r="C157" t="s">
        <v>493</v>
      </c>
      <c r="D157" t="s">
        <v>263</v>
      </c>
      <c r="E157">
        <v>49.2</v>
      </c>
      <c r="F157">
        <v>7.6</v>
      </c>
      <c r="G157" t="s">
        <v>22</v>
      </c>
      <c r="H157" t="s">
        <v>79</v>
      </c>
      <c r="I157" t="s">
        <v>494</v>
      </c>
      <c r="J157" t="s">
        <v>95</v>
      </c>
      <c r="K157">
        <v>5</v>
      </c>
      <c r="L157" s="1">
        <v>726</v>
      </c>
      <c r="M157" t="s">
        <v>484</v>
      </c>
      <c r="N157">
        <v>2017</v>
      </c>
      <c r="O157" t="s">
        <v>105</v>
      </c>
      <c r="P157" t="s">
        <v>71</v>
      </c>
      <c r="Q157" t="s">
        <v>72</v>
      </c>
      <c r="R157" s="9">
        <f>Sheet1[[#This Row],[Price]]*Sheet1[[#This Row],[Quantity]]</f>
        <v>3630</v>
      </c>
    </row>
    <row r="158" spans="1:18" x14ac:dyDescent="0.35">
      <c r="A158" t="s">
        <v>481</v>
      </c>
      <c r="B158" t="s">
        <v>495</v>
      </c>
      <c r="C158" t="s">
        <v>496</v>
      </c>
      <c r="D158" t="s">
        <v>263</v>
      </c>
      <c r="E158">
        <v>52.22</v>
      </c>
      <c r="F158">
        <v>8.93</v>
      </c>
      <c r="G158" t="s">
        <v>22</v>
      </c>
      <c r="H158" t="s">
        <v>23</v>
      </c>
      <c r="I158" t="s">
        <v>161</v>
      </c>
      <c r="J158" t="s">
        <v>25</v>
      </c>
      <c r="K158">
        <v>10</v>
      </c>
      <c r="L158" s="1">
        <v>452</v>
      </c>
      <c r="M158" t="s">
        <v>484</v>
      </c>
      <c r="N158">
        <v>2017</v>
      </c>
      <c r="O158" t="s">
        <v>76</v>
      </c>
      <c r="P158" t="s">
        <v>42</v>
      </c>
      <c r="Q158" t="s">
        <v>43</v>
      </c>
      <c r="R158" s="9">
        <f>Sheet1[[#This Row],[Price]]*Sheet1[[#This Row],[Quantity]]</f>
        <v>4520</v>
      </c>
    </row>
    <row r="159" spans="1:18" x14ac:dyDescent="0.35">
      <c r="A159" t="s">
        <v>481</v>
      </c>
      <c r="B159" t="s">
        <v>497</v>
      </c>
      <c r="C159" t="s">
        <v>498</v>
      </c>
      <c r="D159" t="s">
        <v>263</v>
      </c>
      <c r="E159">
        <v>51.94</v>
      </c>
      <c r="F159">
        <v>8.8800000000000008</v>
      </c>
      <c r="G159" t="s">
        <v>22</v>
      </c>
      <c r="H159" t="s">
        <v>79</v>
      </c>
      <c r="I159" t="s">
        <v>258</v>
      </c>
      <c r="J159" t="s">
        <v>134</v>
      </c>
      <c r="K159">
        <v>10</v>
      </c>
      <c r="L159" s="1">
        <v>713</v>
      </c>
      <c r="M159" t="s">
        <v>484</v>
      </c>
      <c r="N159">
        <v>2017</v>
      </c>
      <c r="O159" t="s">
        <v>27</v>
      </c>
      <c r="P159" t="s">
        <v>28</v>
      </c>
      <c r="Q159" t="s">
        <v>29</v>
      </c>
      <c r="R159" s="9">
        <f>Sheet1[[#This Row],[Price]]*Sheet1[[#This Row],[Quantity]]</f>
        <v>7130</v>
      </c>
    </row>
    <row r="160" spans="1:18" x14ac:dyDescent="0.35">
      <c r="A160" t="s">
        <v>481</v>
      </c>
      <c r="B160" t="s">
        <v>499</v>
      </c>
      <c r="C160" t="s">
        <v>500</v>
      </c>
      <c r="D160" t="s">
        <v>263</v>
      </c>
      <c r="E160">
        <v>52.96</v>
      </c>
      <c r="F160">
        <v>10.57</v>
      </c>
      <c r="G160" t="s">
        <v>22</v>
      </c>
      <c r="H160" t="s">
        <v>79</v>
      </c>
      <c r="I160" t="s">
        <v>224</v>
      </c>
      <c r="J160" t="s">
        <v>134</v>
      </c>
      <c r="K160">
        <v>20</v>
      </c>
      <c r="L160" s="1">
        <v>206</v>
      </c>
      <c r="M160" t="s">
        <v>484</v>
      </c>
      <c r="N160">
        <v>2017</v>
      </c>
      <c r="O160" t="s">
        <v>119</v>
      </c>
      <c r="P160" t="s">
        <v>71</v>
      </c>
      <c r="Q160" t="s">
        <v>72</v>
      </c>
      <c r="R160" s="9">
        <f>Sheet1[[#This Row],[Price]]*Sheet1[[#This Row],[Quantity]]</f>
        <v>4120</v>
      </c>
    </row>
    <row r="161" spans="1:18" x14ac:dyDescent="0.35">
      <c r="A161" t="s">
        <v>481</v>
      </c>
      <c r="B161" t="s">
        <v>501</v>
      </c>
      <c r="C161" t="s">
        <v>502</v>
      </c>
      <c r="D161" t="s">
        <v>263</v>
      </c>
      <c r="E161">
        <v>48.28</v>
      </c>
      <c r="F161">
        <v>9.7200000000000006</v>
      </c>
      <c r="G161" t="s">
        <v>32</v>
      </c>
      <c r="H161" t="s">
        <v>33</v>
      </c>
      <c r="I161" t="s">
        <v>503</v>
      </c>
      <c r="J161" t="s">
        <v>25</v>
      </c>
      <c r="K161">
        <v>20</v>
      </c>
      <c r="L161" s="1">
        <v>64</v>
      </c>
      <c r="M161" t="s">
        <v>484</v>
      </c>
      <c r="N161">
        <v>2017</v>
      </c>
      <c r="O161" t="s">
        <v>41</v>
      </c>
      <c r="P161" t="s">
        <v>42</v>
      </c>
      <c r="Q161" t="s">
        <v>43</v>
      </c>
      <c r="R161" s="9">
        <f>Sheet1[[#This Row],[Price]]*Sheet1[[#This Row],[Quantity]]</f>
        <v>1280</v>
      </c>
    </row>
    <row r="162" spans="1:18" x14ac:dyDescent="0.35">
      <c r="A162" t="s">
        <v>481</v>
      </c>
      <c r="B162" t="s">
        <v>504</v>
      </c>
      <c r="C162" t="s">
        <v>505</v>
      </c>
      <c r="D162" t="s">
        <v>263</v>
      </c>
      <c r="E162">
        <v>48.71</v>
      </c>
      <c r="F162">
        <v>8.74</v>
      </c>
      <c r="G162" t="s">
        <v>22</v>
      </c>
      <c r="H162" t="s">
        <v>23</v>
      </c>
      <c r="I162" t="s">
        <v>75</v>
      </c>
      <c r="J162" t="s">
        <v>47</v>
      </c>
      <c r="K162">
        <v>5</v>
      </c>
      <c r="L162" s="1">
        <v>243</v>
      </c>
      <c r="M162" t="s">
        <v>484</v>
      </c>
      <c r="N162">
        <v>2017</v>
      </c>
      <c r="O162" t="s">
        <v>41</v>
      </c>
      <c r="P162" t="s">
        <v>42</v>
      </c>
      <c r="Q162" t="s">
        <v>43</v>
      </c>
      <c r="R162" s="9">
        <f>Sheet1[[#This Row],[Price]]*Sheet1[[#This Row],[Quantity]]</f>
        <v>1215</v>
      </c>
    </row>
    <row r="163" spans="1:18" x14ac:dyDescent="0.35">
      <c r="A163" t="s">
        <v>481</v>
      </c>
      <c r="B163" t="s">
        <v>506</v>
      </c>
      <c r="C163" t="s">
        <v>507</v>
      </c>
      <c r="D163" t="s">
        <v>263</v>
      </c>
      <c r="E163">
        <v>52.21</v>
      </c>
      <c r="F163">
        <v>7.04</v>
      </c>
      <c r="G163" t="s">
        <v>32</v>
      </c>
      <c r="H163" t="s">
        <v>39</v>
      </c>
      <c r="I163" t="s">
        <v>90</v>
      </c>
      <c r="J163" t="s">
        <v>25</v>
      </c>
      <c r="K163">
        <v>10</v>
      </c>
      <c r="L163" s="1">
        <v>785</v>
      </c>
      <c r="M163" t="s">
        <v>484</v>
      </c>
      <c r="N163">
        <v>2017</v>
      </c>
      <c r="O163" t="s">
        <v>82</v>
      </c>
      <c r="P163" t="s">
        <v>58</v>
      </c>
      <c r="Q163" t="s">
        <v>59</v>
      </c>
      <c r="R163" s="9">
        <f>Sheet1[[#This Row],[Price]]*Sheet1[[#This Row],[Quantity]]</f>
        <v>7850</v>
      </c>
    </row>
    <row r="164" spans="1:18" x14ac:dyDescent="0.35">
      <c r="A164" t="s">
        <v>481</v>
      </c>
      <c r="B164" t="s">
        <v>508</v>
      </c>
      <c r="C164" t="s">
        <v>509</v>
      </c>
      <c r="D164" t="s">
        <v>263</v>
      </c>
      <c r="E164">
        <v>53.07</v>
      </c>
      <c r="F164">
        <v>7.4</v>
      </c>
      <c r="G164" t="s">
        <v>22</v>
      </c>
      <c r="H164" t="s">
        <v>23</v>
      </c>
      <c r="I164" t="s">
        <v>94</v>
      </c>
      <c r="J164" t="s">
        <v>95</v>
      </c>
      <c r="K164">
        <v>30</v>
      </c>
      <c r="L164" s="1">
        <v>286</v>
      </c>
      <c r="M164" t="s">
        <v>484</v>
      </c>
      <c r="N164">
        <v>2017</v>
      </c>
      <c r="O164" t="s">
        <v>87</v>
      </c>
      <c r="P164" t="s">
        <v>42</v>
      </c>
      <c r="Q164" t="s">
        <v>43</v>
      </c>
      <c r="R164" s="9">
        <f>Sheet1[[#This Row],[Price]]*Sheet1[[#This Row],[Quantity]]</f>
        <v>8580</v>
      </c>
    </row>
    <row r="165" spans="1:18" x14ac:dyDescent="0.35">
      <c r="A165" t="s">
        <v>481</v>
      </c>
      <c r="B165" t="s">
        <v>510</v>
      </c>
      <c r="C165" t="s">
        <v>511</v>
      </c>
      <c r="D165" t="s">
        <v>263</v>
      </c>
      <c r="E165">
        <v>51.67</v>
      </c>
      <c r="F165">
        <v>7.12</v>
      </c>
      <c r="G165" t="s">
        <v>22</v>
      </c>
      <c r="H165" t="s">
        <v>23</v>
      </c>
      <c r="I165" t="s">
        <v>512</v>
      </c>
      <c r="J165" t="s">
        <v>25</v>
      </c>
      <c r="K165">
        <v>50</v>
      </c>
      <c r="L165" s="1">
        <v>99</v>
      </c>
      <c r="M165" t="s">
        <v>484</v>
      </c>
      <c r="N165">
        <v>2017</v>
      </c>
      <c r="O165" t="s">
        <v>36</v>
      </c>
      <c r="P165" t="s">
        <v>28</v>
      </c>
      <c r="Q165" t="s">
        <v>29</v>
      </c>
      <c r="R165" s="9">
        <f>Sheet1[[#This Row],[Price]]*Sheet1[[#This Row],[Quantity]]</f>
        <v>4950</v>
      </c>
    </row>
    <row r="166" spans="1:18" x14ac:dyDescent="0.35">
      <c r="A166" t="s">
        <v>481</v>
      </c>
      <c r="B166" t="s">
        <v>513</v>
      </c>
      <c r="C166" t="s">
        <v>514</v>
      </c>
      <c r="D166" t="s">
        <v>263</v>
      </c>
      <c r="E166">
        <v>52.29</v>
      </c>
      <c r="F166">
        <v>13.62</v>
      </c>
      <c r="G166" t="s">
        <v>32</v>
      </c>
      <c r="H166" t="s">
        <v>33</v>
      </c>
      <c r="I166" t="s">
        <v>515</v>
      </c>
      <c r="J166" t="s">
        <v>35</v>
      </c>
      <c r="K166">
        <v>10</v>
      </c>
      <c r="L166" s="1">
        <v>688</v>
      </c>
      <c r="M166" t="s">
        <v>484</v>
      </c>
      <c r="N166">
        <v>2017</v>
      </c>
      <c r="O166" t="s">
        <v>76</v>
      </c>
      <c r="P166" t="s">
        <v>42</v>
      </c>
      <c r="Q166" t="s">
        <v>43</v>
      </c>
      <c r="R166" s="9">
        <f>Sheet1[[#This Row],[Price]]*Sheet1[[#This Row],[Quantity]]</f>
        <v>6880</v>
      </c>
    </row>
    <row r="167" spans="1:18" x14ac:dyDescent="0.35">
      <c r="A167" t="s">
        <v>481</v>
      </c>
      <c r="B167" t="s">
        <v>516</v>
      </c>
      <c r="C167" t="s">
        <v>517</v>
      </c>
      <c r="D167" t="s">
        <v>263</v>
      </c>
      <c r="E167">
        <v>50.65</v>
      </c>
      <c r="F167">
        <v>7.23</v>
      </c>
      <c r="G167" t="s">
        <v>32</v>
      </c>
      <c r="H167" t="s">
        <v>39</v>
      </c>
      <c r="I167" t="s">
        <v>518</v>
      </c>
      <c r="J167" t="s">
        <v>25</v>
      </c>
      <c r="K167">
        <v>-10</v>
      </c>
      <c r="L167" s="1">
        <v>187</v>
      </c>
      <c r="M167" t="s">
        <v>484</v>
      </c>
      <c r="N167">
        <v>2017</v>
      </c>
      <c r="O167" t="s">
        <v>87</v>
      </c>
      <c r="P167" t="s">
        <v>42</v>
      </c>
      <c r="Q167" t="s">
        <v>43</v>
      </c>
      <c r="R167" s="9">
        <f>Sheet1[[#This Row],[Price]]*Sheet1[[#This Row],[Quantity]]</f>
        <v>-1870</v>
      </c>
    </row>
    <row r="168" spans="1:18" x14ac:dyDescent="0.35">
      <c r="A168" t="s">
        <v>481</v>
      </c>
      <c r="B168" t="s">
        <v>519</v>
      </c>
      <c r="C168" t="s">
        <v>520</v>
      </c>
      <c r="D168" t="s">
        <v>263</v>
      </c>
      <c r="E168">
        <v>48.63</v>
      </c>
      <c r="F168">
        <v>8.07</v>
      </c>
      <c r="G168" t="s">
        <v>32</v>
      </c>
      <c r="H168" t="s">
        <v>33</v>
      </c>
      <c r="I168" t="s">
        <v>521</v>
      </c>
      <c r="J168" t="s">
        <v>25</v>
      </c>
      <c r="K168">
        <v>500</v>
      </c>
      <c r="L168" s="1">
        <v>180</v>
      </c>
      <c r="M168" t="s">
        <v>484</v>
      </c>
      <c r="N168">
        <v>2017</v>
      </c>
      <c r="O168" t="s">
        <v>82</v>
      </c>
      <c r="P168" t="s">
        <v>58</v>
      </c>
      <c r="Q168" t="s">
        <v>59</v>
      </c>
      <c r="R168" s="9">
        <f>Sheet1[[#This Row],[Price]]*Sheet1[[#This Row],[Quantity]]</f>
        <v>90000</v>
      </c>
    </row>
    <row r="169" spans="1:18" x14ac:dyDescent="0.35">
      <c r="A169" t="s">
        <v>522</v>
      </c>
      <c r="B169" t="s">
        <v>523</v>
      </c>
      <c r="C169" t="s">
        <v>524</v>
      </c>
      <c r="D169" t="s">
        <v>263</v>
      </c>
      <c r="E169">
        <v>48.72</v>
      </c>
      <c r="F169">
        <v>9.26</v>
      </c>
      <c r="G169" t="s">
        <v>22</v>
      </c>
      <c r="H169" t="s">
        <v>79</v>
      </c>
      <c r="I169" t="s">
        <v>104</v>
      </c>
      <c r="J169" t="s">
        <v>95</v>
      </c>
      <c r="K169">
        <v>20</v>
      </c>
      <c r="L169" s="1">
        <v>548</v>
      </c>
      <c r="M169" t="s">
        <v>91</v>
      </c>
      <c r="N169">
        <v>2017</v>
      </c>
      <c r="O169" t="s">
        <v>115</v>
      </c>
      <c r="P169" t="s">
        <v>58</v>
      </c>
      <c r="Q169" t="s">
        <v>59</v>
      </c>
      <c r="R169" s="9">
        <f>Sheet1[[#This Row],[Price]]*Sheet1[[#This Row],[Quantity]]</f>
        <v>10960</v>
      </c>
    </row>
    <row r="170" spans="1:18" x14ac:dyDescent="0.35">
      <c r="A170" t="s">
        <v>522</v>
      </c>
      <c r="B170" t="s">
        <v>525</v>
      </c>
      <c r="C170" t="s">
        <v>526</v>
      </c>
      <c r="D170" t="s">
        <v>263</v>
      </c>
      <c r="E170">
        <v>51.08</v>
      </c>
      <c r="F170">
        <v>6.32</v>
      </c>
      <c r="G170" t="s">
        <v>32</v>
      </c>
      <c r="H170" t="s">
        <v>33</v>
      </c>
      <c r="I170" t="s">
        <v>521</v>
      </c>
      <c r="J170" t="s">
        <v>25</v>
      </c>
      <c r="K170">
        <v>20</v>
      </c>
      <c r="L170" s="1">
        <v>180</v>
      </c>
      <c r="M170" t="s">
        <v>484</v>
      </c>
      <c r="N170">
        <v>2017</v>
      </c>
      <c r="O170" t="s">
        <v>115</v>
      </c>
      <c r="P170" t="s">
        <v>58</v>
      </c>
      <c r="Q170" t="s">
        <v>59</v>
      </c>
      <c r="R170" s="9">
        <f>Sheet1[[#This Row],[Price]]*Sheet1[[#This Row],[Quantity]]</f>
        <v>3600</v>
      </c>
    </row>
    <row r="171" spans="1:18" x14ac:dyDescent="0.35">
      <c r="A171" t="s">
        <v>522</v>
      </c>
      <c r="B171" t="s">
        <v>527</v>
      </c>
      <c r="C171" t="s">
        <v>528</v>
      </c>
      <c r="D171" t="s">
        <v>263</v>
      </c>
      <c r="E171">
        <v>52.67</v>
      </c>
      <c r="F171">
        <v>8.24</v>
      </c>
      <c r="G171" t="s">
        <v>22</v>
      </c>
      <c r="H171" t="s">
        <v>79</v>
      </c>
      <c r="I171" t="s">
        <v>529</v>
      </c>
      <c r="J171" t="s">
        <v>86</v>
      </c>
      <c r="K171">
        <v>10</v>
      </c>
      <c r="L171" s="1">
        <v>535</v>
      </c>
      <c r="M171" t="s">
        <v>484</v>
      </c>
      <c r="N171">
        <v>2017</v>
      </c>
      <c r="O171" t="s">
        <v>119</v>
      </c>
      <c r="P171" t="s">
        <v>71</v>
      </c>
      <c r="Q171" t="s">
        <v>72</v>
      </c>
      <c r="R171" s="9">
        <f>Sheet1[[#This Row],[Price]]*Sheet1[[#This Row],[Quantity]]</f>
        <v>5350</v>
      </c>
    </row>
    <row r="172" spans="1:18" x14ac:dyDescent="0.35">
      <c r="A172" t="s">
        <v>522</v>
      </c>
      <c r="B172" t="s">
        <v>530</v>
      </c>
      <c r="C172" t="s">
        <v>531</v>
      </c>
      <c r="D172" t="s">
        <v>263</v>
      </c>
      <c r="E172">
        <v>49.75</v>
      </c>
      <c r="F172">
        <v>8.1199999999999992</v>
      </c>
      <c r="G172" t="s">
        <v>22</v>
      </c>
      <c r="H172" t="s">
        <v>79</v>
      </c>
      <c r="I172" t="s">
        <v>282</v>
      </c>
      <c r="J172" t="s">
        <v>47</v>
      </c>
      <c r="K172">
        <v>20</v>
      </c>
      <c r="L172" s="1">
        <v>298</v>
      </c>
      <c r="M172" t="s">
        <v>91</v>
      </c>
      <c r="N172">
        <v>2017</v>
      </c>
      <c r="O172" t="s">
        <v>52</v>
      </c>
      <c r="P172" t="s">
        <v>28</v>
      </c>
      <c r="Q172" t="s">
        <v>29</v>
      </c>
      <c r="R172" s="9">
        <f>Sheet1[[#This Row],[Price]]*Sheet1[[#This Row],[Quantity]]</f>
        <v>5960</v>
      </c>
    </row>
    <row r="173" spans="1:18" x14ac:dyDescent="0.35">
      <c r="A173" t="s">
        <v>522</v>
      </c>
      <c r="B173" t="s">
        <v>532</v>
      </c>
      <c r="C173" t="s">
        <v>533</v>
      </c>
      <c r="D173" t="s">
        <v>263</v>
      </c>
      <c r="E173">
        <v>49.68</v>
      </c>
      <c r="F173">
        <v>8.6199999999999992</v>
      </c>
      <c r="G173" t="s">
        <v>32</v>
      </c>
      <c r="H173" t="s">
        <v>33</v>
      </c>
      <c r="I173" t="s">
        <v>147</v>
      </c>
      <c r="J173" t="s">
        <v>86</v>
      </c>
      <c r="K173">
        <v>20</v>
      </c>
      <c r="L173" s="1">
        <v>692</v>
      </c>
      <c r="M173" t="s">
        <v>484</v>
      </c>
      <c r="N173">
        <v>2017</v>
      </c>
      <c r="O173" t="s">
        <v>82</v>
      </c>
      <c r="P173" t="s">
        <v>58</v>
      </c>
      <c r="Q173" t="s">
        <v>59</v>
      </c>
      <c r="R173" s="9">
        <f>Sheet1[[#This Row],[Price]]*Sheet1[[#This Row],[Quantity]]</f>
        <v>13840</v>
      </c>
    </row>
    <row r="174" spans="1:18" x14ac:dyDescent="0.35">
      <c r="A174" t="s">
        <v>481</v>
      </c>
      <c r="B174" t="s">
        <v>534</v>
      </c>
      <c r="C174" t="s">
        <v>535</v>
      </c>
      <c r="D174" t="s">
        <v>263</v>
      </c>
      <c r="E174">
        <v>48.28</v>
      </c>
      <c r="F174">
        <v>11.57</v>
      </c>
      <c r="G174" t="s">
        <v>32</v>
      </c>
      <c r="H174" t="s">
        <v>33</v>
      </c>
      <c r="I174" t="s">
        <v>536</v>
      </c>
      <c r="J174" t="s">
        <v>35</v>
      </c>
      <c r="K174">
        <v>5</v>
      </c>
      <c r="L174" s="1">
        <v>773</v>
      </c>
      <c r="M174" t="s">
        <v>329</v>
      </c>
      <c r="N174">
        <v>2017</v>
      </c>
      <c r="O174" t="s">
        <v>27</v>
      </c>
      <c r="P174" t="s">
        <v>28</v>
      </c>
      <c r="Q174" t="s">
        <v>29</v>
      </c>
      <c r="R174" s="9">
        <f>Sheet1[[#This Row],[Price]]*Sheet1[[#This Row],[Quantity]]</f>
        <v>3865</v>
      </c>
    </row>
    <row r="175" spans="1:18" x14ac:dyDescent="0.35">
      <c r="A175" t="s">
        <v>481</v>
      </c>
      <c r="B175" t="s">
        <v>537</v>
      </c>
      <c r="C175" t="s">
        <v>538</v>
      </c>
      <c r="D175" t="s">
        <v>263</v>
      </c>
      <c r="E175">
        <v>49.54</v>
      </c>
      <c r="F175">
        <v>8.58</v>
      </c>
      <c r="G175" t="s">
        <v>32</v>
      </c>
      <c r="H175" t="s">
        <v>39</v>
      </c>
      <c r="I175" t="s">
        <v>539</v>
      </c>
      <c r="J175" t="s">
        <v>86</v>
      </c>
      <c r="K175">
        <v>2</v>
      </c>
      <c r="L175" s="1">
        <v>22</v>
      </c>
      <c r="M175" t="s">
        <v>329</v>
      </c>
      <c r="N175">
        <v>2017</v>
      </c>
      <c r="O175" t="s">
        <v>105</v>
      </c>
      <c r="P175" t="s">
        <v>71</v>
      </c>
      <c r="Q175" t="s">
        <v>72</v>
      </c>
      <c r="R175" s="9">
        <f>Sheet1[[#This Row],[Price]]*Sheet1[[#This Row],[Quantity]]</f>
        <v>44</v>
      </c>
    </row>
    <row r="176" spans="1:18" x14ac:dyDescent="0.35">
      <c r="A176" t="s">
        <v>481</v>
      </c>
      <c r="B176" t="s">
        <v>540</v>
      </c>
      <c r="C176" t="s">
        <v>541</v>
      </c>
      <c r="D176" t="s">
        <v>263</v>
      </c>
      <c r="E176">
        <v>52.63</v>
      </c>
      <c r="F176">
        <v>10.08</v>
      </c>
      <c r="G176" t="s">
        <v>32</v>
      </c>
      <c r="H176" t="s">
        <v>33</v>
      </c>
      <c r="I176" t="s">
        <v>542</v>
      </c>
      <c r="J176" t="s">
        <v>86</v>
      </c>
      <c r="K176">
        <v>500</v>
      </c>
      <c r="L176" s="1">
        <v>469</v>
      </c>
      <c r="M176" t="s">
        <v>329</v>
      </c>
      <c r="N176">
        <v>2017</v>
      </c>
      <c r="O176" t="s">
        <v>41</v>
      </c>
      <c r="P176" t="s">
        <v>42</v>
      </c>
      <c r="Q176" t="s">
        <v>43</v>
      </c>
      <c r="R176" s="9">
        <f>Sheet1[[#This Row],[Price]]*Sheet1[[#This Row],[Quantity]]</f>
        <v>234500</v>
      </c>
    </row>
    <row r="177" spans="1:18" x14ac:dyDescent="0.35">
      <c r="A177" t="s">
        <v>481</v>
      </c>
      <c r="B177" t="s">
        <v>543</v>
      </c>
      <c r="C177" t="s">
        <v>544</v>
      </c>
      <c r="D177" t="s">
        <v>263</v>
      </c>
      <c r="E177">
        <v>51.87</v>
      </c>
      <c r="F177">
        <v>12.65</v>
      </c>
      <c r="G177" t="s">
        <v>22</v>
      </c>
      <c r="H177" t="s">
        <v>23</v>
      </c>
      <c r="I177" t="s">
        <v>376</v>
      </c>
      <c r="J177" t="s">
        <v>47</v>
      </c>
      <c r="K177">
        <v>5</v>
      </c>
      <c r="L177" s="1">
        <v>113</v>
      </c>
      <c r="M177" t="s">
        <v>26</v>
      </c>
      <c r="N177">
        <v>2017</v>
      </c>
      <c r="O177" t="s">
        <v>76</v>
      </c>
      <c r="P177" t="s">
        <v>42</v>
      </c>
      <c r="Q177" t="s">
        <v>43</v>
      </c>
      <c r="R177" s="9">
        <f>Sheet1[[#This Row],[Price]]*Sheet1[[#This Row],[Quantity]]</f>
        <v>565</v>
      </c>
    </row>
    <row r="178" spans="1:18" x14ac:dyDescent="0.35">
      <c r="A178" t="s">
        <v>481</v>
      </c>
      <c r="B178" t="s">
        <v>545</v>
      </c>
      <c r="C178" t="s">
        <v>546</v>
      </c>
      <c r="D178" t="s">
        <v>263</v>
      </c>
      <c r="E178">
        <v>50.65</v>
      </c>
      <c r="F178">
        <v>12.2</v>
      </c>
      <c r="G178" t="s">
        <v>22</v>
      </c>
      <c r="H178" t="s">
        <v>79</v>
      </c>
      <c r="I178" t="s">
        <v>125</v>
      </c>
      <c r="J178" t="s">
        <v>35</v>
      </c>
      <c r="K178">
        <v>4</v>
      </c>
      <c r="L178" s="1">
        <v>215</v>
      </c>
      <c r="M178" t="s">
        <v>329</v>
      </c>
      <c r="N178">
        <v>2017</v>
      </c>
      <c r="O178" t="s">
        <v>87</v>
      </c>
      <c r="P178" t="s">
        <v>42</v>
      </c>
      <c r="Q178" t="s">
        <v>43</v>
      </c>
      <c r="R178" s="9">
        <f>Sheet1[[#This Row],[Price]]*Sheet1[[#This Row],[Quantity]]</f>
        <v>860</v>
      </c>
    </row>
    <row r="179" spans="1:18" x14ac:dyDescent="0.35">
      <c r="A179" t="s">
        <v>481</v>
      </c>
      <c r="B179" t="s">
        <v>547</v>
      </c>
      <c r="C179" t="s">
        <v>548</v>
      </c>
      <c r="D179" t="s">
        <v>263</v>
      </c>
      <c r="E179">
        <v>51.22</v>
      </c>
      <c r="F179">
        <v>10.45</v>
      </c>
      <c r="G179" t="s">
        <v>32</v>
      </c>
      <c r="H179" t="s">
        <v>33</v>
      </c>
      <c r="I179" t="s">
        <v>549</v>
      </c>
      <c r="J179" t="s">
        <v>25</v>
      </c>
      <c r="K179">
        <v>3</v>
      </c>
      <c r="L179" s="1">
        <v>682</v>
      </c>
      <c r="M179" t="s">
        <v>81</v>
      </c>
      <c r="N179">
        <v>2017</v>
      </c>
      <c r="O179" t="s">
        <v>70</v>
      </c>
      <c r="P179" t="s">
        <v>71</v>
      </c>
      <c r="Q179" t="s">
        <v>72</v>
      </c>
      <c r="R179" s="9">
        <f>Sheet1[[#This Row],[Price]]*Sheet1[[#This Row],[Quantity]]</f>
        <v>2046</v>
      </c>
    </row>
    <row r="180" spans="1:18" x14ac:dyDescent="0.35">
      <c r="A180" t="s">
        <v>481</v>
      </c>
      <c r="B180" t="s">
        <v>550</v>
      </c>
      <c r="C180" t="s">
        <v>551</v>
      </c>
      <c r="D180" t="s">
        <v>263</v>
      </c>
      <c r="E180">
        <v>51.17</v>
      </c>
      <c r="F180">
        <v>6.94</v>
      </c>
      <c r="G180" t="s">
        <v>32</v>
      </c>
      <c r="H180" t="s">
        <v>33</v>
      </c>
      <c r="I180" t="s">
        <v>552</v>
      </c>
      <c r="J180" t="s">
        <v>86</v>
      </c>
      <c r="K180">
        <v>10</v>
      </c>
      <c r="L180" s="1">
        <v>785</v>
      </c>
      <c r="M180" t="s">
        <v>51</v>
      </c>
      <c r="N180">
        <v>2017</v>
      </c>
      <c r="O180" t="s">
        <v>76</v>
      </c>
      <c r="P180" t="s">
        <v>42</v>
      </c>
      <c r="Q180" t="s">
        <v>43</v>
      </c>
      <c r="R180" s="9">
        <f>Sheet1[[#This Row],[Price]]*Sheet1[[#This Row],[Quantity]]</f>
        <v>7850</v>
      </c>
    </row>
    <row r="181" spans="1:18" x14ac:dyDescent="0.35">
      <c r="A181" t="s">
        <v>481</v>
      </c>
      <c r="B181" t="s">
        <v>553</v>
      </c>
      <c r="C181" t="s">
        <v>554</v>
      </c>
      <c r="D181" t="s">
        <v>263</v>
      </c>
      <c r="E181">
        <v>49.99</v>
      </c>
      <c r="F181">
        <v>8.57</v>
      </c>
      <c r="G181" t="s">
        <v>22</v>
      </c>
      <c r="H181" t="s">
        <v>23</v>
      </c>
      <c r="I181" t="s">
        <v>555</v>
      </c>
      <c r="J181" t="s">
        <v>47</v>
      </c>
      <c r="K181">
        <v>40</v>
      </c>
      <c r="L181" s="1">
        <v>323</v>
      </c>
      <c r="M181" t="s">
        <v>329</v>
      </c>
      <c r="N181">
        <v>2017</v>
      </c>
      <c r="O181" t="s">
        <v>82</v>
      </c>
      <c r="P181" t="s">
        <v>58</v>
      </c>
      <c r="Q181" t="s">
        <v>59</v>
      </c>
      <c r="R181" s="9">
        <f>Sheet1[[#This Row],[Price]]*Sheet1[[#This Row],[Quantity]]</f>
        <v>12920</v>
      </c>
    </row>
    <row r="182" spans="1:18" x14ac:dyDescent="0.35">
      <c r="A182" t="s">
        <v>481</v>
      </c>
      <c r="B182" t="s">
        <v>556</v>
      </c>
      <c r="C182" t="s">
        <v>557</v>
      </c>
      <c r="D182" t="s">
        <v>263</v>
      </c>
      <c r="E182">
        <v>50.98</v>
      </c>
      <c r="F182">
        <v>12.43</v>
      </c>
      <c r="G182" t="s">
        <v>22</v>
      </c>
      <c r="H182" t="s">
        <v>79</v>
      </c>
      <c r="I182" t="s">
        <v>558</v>
      </c>
      <c r="J182" t="s">
        <v>35</v>
      </c>
      <c r="K182">
        <v>2</v>
      </c>
      <c r="L182" s="1">
        <v>664</v>
      </c>
      <c r="M182" t="s">
        <v>329</v>
      </c>
      <c r="N182">
        <v>2017</v>
      </c>
      <c r="O182" t="s">
        <v>63</v>
      </c>
      <c r="P182" t="s">
        <v>28</v>
      </c>
      <c r="Q182" t="s">
        <v>29</v>
      </c>
      <c r="R182" s="9">
        <f>Sheet1[[#This Row],[Price]]*Sheet1[[#This Row],[Quantity]]</f>
        <v>1328</v>
      </c>
    </row>
    <row r="183" spans="1:18" x14ac:dyDescent="0.35">
      <c r="A183" t="s">
        <v>481</v>
      </c>
      <c r="B183" t="s">
        <v>559</v>
      </c>
      <c r="C183" t="s">
        <v>560</v>
      </c>
      <c r="D183" t="s">
        <v>263</v>
      </c>
      <c r="E183">
        <v>47.56</v>
      </c>
      <c r="F183">
        <v>7.79</v>
      </c>
      <c r="G183" t="s">
        <v>22</v>
      </c>
      <c r="H183" t="s">
        <v>23</v>
      </c>
      <c r="I183" t="s">
        <v>561</v>
      </c>
      <c r="J183" t="s">
        <v>95</v>
      </c>
      <c r="K183">
        <v>5</v>
      </c>
      <c r="L183" s="1">
        <v>663</v>
      </c>
      <c r="M183" t="s">
        <v>329</v>
      </c>
      <c r="N183">
        <v>2017</v>
      </c>
      <c r="O183" t="s">
        <v>76</v>
      </c>
      <c r="P183" t="s">
        <v>42</v>
      </c>
      <c r="Q183" t="s">
        <v>43</v>
      </c>
      <c r="R183" s="9">
        <f>Sheet1[[#This Row],[Price]]*Sheet1[[#This Row],[Quantity]]</f>
        <v>3315</v>
      </c>
    </row>
    <row r="184" spans="1:18" x14ac:dyDescent="0.35">
      <c r="A184" t="s">
        <v>481</v>
      </c>
      <c r="B184" t="s">
        <v>562</v>
      </c>
      <c r="C184" t="s">
        <v>563</v>
      </c>
      <c r="D184" t="s">
        <v>263</v>
      </c>
      <c r="E184">
        <v>48.93</v>
      </c>
      <c r="F184">
        <v>8.4</v>
      </c>
      <c r="G184" t="s">
        <v>22</v>
      </c>
      <c r="H184" t="s">
        <v>79</v>
      </c>
      <c r="I184" t="s">
        <v>564</v>
      </c>
      <c r="J184" t="s">
        <v>25</v>
      </c>
      <c r="K184">
        <v>5</v>
      </c>
      <c r="L184" s="1">
        <v>678</v>
      </c>
      <c r="M184" t="s">
        <v>232</v>
      </c>
      <c r="N184">
        <v>2017</v>
      </c>
      <c r="O184" t="s">
        <v>52</v>
      </c>
      <c r="P184" t="s">
        <v>28</v>
      </c>
      <c r="Q184" t="s">
        <v>29</v>
      </c>
      <c r="R184" s="9">
        <f>Sheet1[[#This Row],[Price]]*Sheet1[[#This Row],[Quantity]]</f>
        <v>3390</v>
      </c>
    </row>
    <row r="185" spans="1:18" x14ac:dyDescent="0.35">
      <c r="A185" t="s">
        <v>481</v>
      </c>
      <c r="B185" t="s">
        <v>565</v>
      </c>
      <c r="C185" t="s">
        <v>566</v>
      </c>
      <c r="D185" t="s">
        <v>263</v>
      </c>
      <c r="E185">
        <v>51.22</v>
      </c>
      <c r="F185">
        <v>7.63</v>
      </c>
      <c r="G185" t="s">
        <v>22</v>
      </c>
      <c r="H185" t="s">
        <v>23</v>
      </c>
      <c r="I185" t="s">
        <v>567</v>
      </c>
      <c r="J185" t="s">
        <v>134</v>
      </c>
      <c r="K185">
        <v>10</v>
      </c>
      <c r="L185" s="1">
        <v>459</v>
      </c>
      <c r="M185" t="s">
        <v>329</v>
      </c>
      <c r="N185">
        <v>2017</v>
      </c>
      <c r="O185" t="s">
        <v>52</v>
      </c>
      <c r="P185" t="s">
        <v>28</v>
      </c>
      <c r="Q185" t="s">
        <v>29</v>
      </c>
      <c r="R185" s="9">
        <f>Sheet1[[#This Row],[Price]]*Sheet1[[#This Row],[Quantity]]</f>
        <v>4590</v>
      </c>
    </row>
    <row r="186" spans="1:18" x14ac:dyDescent="0.35">
      <c r="A186" t="s">
        <v>481</v>
      </c>
      <c r="B186" t="s">
        <v>568</v>
      </c>
      <c r="C186" t="s">
        <v>569</v>
      </c>
      <c r="D186" t="s">
        <v>263</v>
      </c>
      <c r="E186">
        <v>50.38</v>
      </c>
      <c r="F186">
        <v>8.07</v>
      </c>
      <c r="G186" t="s">
        <v>32</v>
      </c>
      <c r="H186" t="s">
        <v>33</v>
      </c>
      <c r="I186" t="s">
        <v>570</v>
      </c>
      <c r="J186" t="s">
        <v>134</v>
      </c>
      <c r="K186">
        <v>3</v>
      </c>
      <c r="L186" s="1">
        <v>705</v>
      </c>
      <c r="M186" t="s">
        <v>329</v>
      </c>
      <c r="N186">
        <v>2017</v>
      </c>
      <c r="O186" t="s">
        <v>115</v>
      </c>
      <c r="P186" t="s">
        <v>58</v>
      </c>
      <c r="Q186" t="s">
        <v>59</v>
      </c>
      <c r="R186" s="9">
        <f>Sheet1[[#This Row],[Price]]*Sheet1[[#This Row],[Quantity]]</f>
        <v>2115</v>
      </c>
    </row>
    <row r="187" spans="1:18" x14ac:dyDescent="0.35">
      <c r="A187" t="s">
        <v>481</v>
      </c>
      <c r="B187" t="s">
        <v>571</v>
      </c>
      <c r="C187" t="s">
        <v>572</v>
      </c>
      <c r="D187" t="s">
        <v>263</v>
      </c>
      <c r="E187">
        <v>51.53</v>
      </c>
      <c r="F187">
        <v>12.34</v>
      </c>
      <c r="G187" t="s">
        <v>32</v>
      </c>
      <c r="H187" t="s">
        <v>33</v>
      </c>
      <c r="I187" t="s">
        <v>573</v>
      </c>
      <c r="J187" t="s">
        <v>25</v>
      </c>
      <c r="K187">
        <v>20</v>
      </c>
      <c r="L187" s="1">
        <v>361</v>
      </c>
      <c r="M187" t="s">
        <v>144</v>
      </c>
      <c r="N187">
        <v>2017</v>
      </c>
      <c r="O187" t="s">
        <v>63</v>
      </c>
      <c r="P187" t="s">
        <v>28</v>
      </c>
      <c r="Q187" t="s">
        <v>29</v>
      </c>
      <c r="R187" s="9">
        <f>Sheet1[[#This Row],[Price]]*Sheet1[[#This Row],[Quantity]]</f>
        <v>7220</v>
      </c>
    </row>
    <row r="188" spans="1:18" x14ac:dyDescent="0.35">
      <c r="A188" t="s">
        <v>481</v>
      </c>
      <c r="B188" t="s">
        <v>574</v>
      </c>
      <c r="C188" t="s">
        <v>575</v>
      </c>
      <c r="D188" t="s">
        <v>263</v>
      </c>
      <c r="E188">
        <v>53.25</v>
      </c>
      <c r="F188">
        <v>7.92</v>
      </c>
      <c r="G188" t="s">
        <v>22</v>
      </c>
      <c r="H188" t="s">
        <v>79</v>
      </c>
      <c r="I188" t="s">
        <v>576</v>
      </c>
      <c r="J188" t="s">
        <v>35</v>
      </c>
      <c r="K188">
        <v>7</v>
      </c>
      <c r="L188" s="1">
        <v>549</v>
      </c>
      <c r="M188" t="s">
        <v>329</v>
      </c>
      <c r="N188">
        <v>2017</v>
      </c>
      <c r="O188" t="s">
        <v>87</v>
      </c>
      <c r="P188" t="s">
        <v>42</v>
      </c>
      <c r="Q188" t="s">
        <v>43</v>
      </c>
      <c r="R188" s="9">
        <f>Sheet1[[#This Row],[Price]]*Sheet1[[#This Row],[Quantity]]</f>
        <v>3843</v>
      </c>
    </row>
    <row r="189" spans="1:18" x14ac:dyDescent="0.35">
      <c r="A189" t="s">
        <v>481</v>
      </c>
      <c r="B189" t="s">
        <v>577</v>
      </c>
      <c r="C189" t="s">
        <v>578</v>
      </c>
      <c r="D189" t="s">
        <v>263</v>
      </c>
      <c r="E189">
        <v>49.92</v>
      </c>
      <c r="F189">
        <v>8.48</v>
      </c>
      <c r="G189" t="s">
        <v>22</v>
      </c>
      <c r="H189" t="s">
        <v>79</v>
      </c>
      <c r="I189" t="s">
        <v>221</v>
      </c>
      <c r="J189" t="s">
        <v>86</v>
      </c>
      <c r="K189">
        <v>2</v>
      </c>
      <c r="L189" s="1">
        <v>373</v>
      </c>
      <c r="M189" t="s">
        <v>329</v>
      </c>
      <c r="N189">
        <v>2017</v>
      </c>
      <c r="O189" t="s">
        <v>119</v>
      </c>
      <c r="P189" t="s">
        <v>71</v>
      </c>
      <c r="Q189" t="s">
        <v>72</v>
      </c>
      <c r="R189" s="9">
        <f>Sheet1[[#This Row],[Price]]*Sheet1[[#This Row],[Quantity]]</f>
        <v>746</v>
      </c>
    </row>
    <row r="190" spans="1:18" x14ac:dyDescent="0.35">
      <c r="A190" t="s">
        <v>481</v>
      </c>
      <c r="B190" t="s">
        <v>579</v>
      </c>
      <c r="C190" t="s">
        <v>580</v>
      </c>
      <c r="D190" t="s">
        <v>263</v>
      </c>
      <c r="E190">
        <v>49.32</v>
      </c>
      <c r="F190">
        <v>12.1</v>
      </c>
      <c r="G190" t="s">
        <v>32</v>
      </c>
      <c r="H190" t="s">
        <v>33</v>
      </c>
      <c r="I190" t="s">
        <v>581</v>
      </c>
      <c r="J190" t="s">
        <v>95</v>
      </c>
      <c r="K190">
        <v>-45</v>
      </c>
      <c r="L190" s="1">
        <v>303</v>
      </c>
      <c r="M190" t="s">
        <v>329</v>
      </c>
      <c r="N190">
        <v>2017</v>
      </c>
      <c r="O190" t="s">
        <v>57</v>
      </c>
      <c r="P190" t="s">
        <v>58</v>
      </c>
      <c r="Q190" t="s">
        <v>59</v>
      </c>
      <c r="R190" s="9">
        <f>Sheet1[[#This Row],[Price]]*Sheet1[[#This Row],[Quantity]]</f>
        <v>-13635</v>
      </c>
    </row>
    <row r="191" spans="1:18" x14ac:dyDescent="0.35">
      <c r="A191" t="s">
        <v>481</v>
      </c>
      <c r="B191" t="s">
        <v>582</v>
      </c>
      <c r="C191" t="s">
        <v>583</v>
      </c>
      <c r="D191" t="s">
        <v>263</v>
      </c>
      <c r="E191">
        <v>50.83</v>
      </c>
      <c r="F191">
        <v>12.92</v>
      </c>
      <c r="G191" t="s">
        <v>22</v>
      </c>
      <c r="H191" t="s">
        <v>79</v>
      </c>
      <c r="I191" t="s">
        <v>581</v>
      </c>
      <c r="J191" t="s">
        <v>95</v>
      </c>
      <c r="K191">
        <v>-72</v>
      </c>
      <c r="L191" s="1">
        <v>303</v>
      </c>
      <c r="M191" t="s">
        <v>329</v>
      </c>
      <c r="N191">
        <v>2017</v>
      </c>
      <c r="O191" t="s">
        <v>70</v>
      </c>
      <c r="P191" t="s">
        <v>71</v>
      </c>
      <c r="Q191" t="s">
        <v>72</v>
      </c>
      <c r="R191" s="9">
        <f>Sheet1[[#This Row],[Price]]*Sheet1[[#This Row],[Quantity]]</f>
        <v>-21816</v>
      </c>
    </row>
    <row r="192" spans="1:18" x14ac:dyDescent="0.35">
      <c r="A192" t="s">
        <v>481</v>
      </c>
      <c r="B192" t="s">
        <v>584</v>
      </c>
      <c r="C192" t="s">
        <v>585</v>
      </c>
      <c r="D192" t="s">
        <v>263</v>
      </c>
      <c r="E192">
        <v>51.24</v>
      </c>
      <c r="F192">
        <v>12.73</v>
      </c>
      <c r="G192" t="s">
        <v>22</v>
      </c>
      <c r="H192" t="s">
        <v>23</v>
      </c>
      <c r="I192" t="s">
        <v>140</v>
      </c>
      <c r="J192" t="s">
        <v>134</v>
      </c>
      <c r="K192">
        <v>117</v>
      </c>
      <c r="L192" s="1">
        <v>511</v>
      </c>
      <c r="M192" t="s">
        <v>56</v>
      </c>
      <c r="N192">
        <v>2017</v>
      </c>
      <c r="O192" t="s">
        <v>70</v>
      </c>
      <c r="P192" t="s">
        <v>71</v>
      </c>
      <c r="Q192" t="s">
        <v>72</v>
      </c>
      <c r="R192" s="9">
        <f>Sheet1[[#This Row],[Price]]*Sheet1[[#This Row],[Quantity]]</f>
        <v>59787</v>
      </c>
    </row>
    <row r="193" spans="1:22" x14ac:dyDescent="0.35">
      <c r="A193" t="s">
        <v>481</v>
      </c>
      <c r="B193" t="s">
        <v>586</v>
      </c>
      <c r="C193" t="s">
        <v>587</v>
      </c>
      <c r="D193" t="s">
        <v>263</v>
      </c>
      <c r="E193">
        <v>48.8</v>
      </c>
      <c r="F193">
        <v>9.5299999999999994</v>
      </c>
      <c r="G193" t="s">
        <v>32</v>
      </c>
      <c r="H193" t="s">
        <v>39</v>
      </c>
      <c r="I193" t="s">
        <v>229</v>
      </c>
      <c r="J193" t="s">
        <v>86</v>
      </c>
      <c r="K193">
        <v>3</v>
      </c>
      <c r="L193" s="1">
        <v>26</v>
      </c>
      <c r="M193" t="s">
        <v>329</v>
      </c>
      <c r="N193">
        <v>2017</v>
      </c>
      <c r="O193" t="s">
        <v>63</v>
      </c>
      <c r="P193" t="s">
        <v>28</v>
      </c>
      <c r="Q193" t="s">
        <v>29</v>
      </c>
      <c r="R193" s="9">
        <f>Sheet1[[#This Row],[Price]]*Sheet1[[#This Row],[Quantity]]</f>
        <v>78</v>
      </c>
    </row>
    <row r="195" spans="1:22" x14ac:dyDescent="0.35">
      <c r="K195" s="9"/>
      <c r="U195" t="s">
        <v>588</v>
      </c>
      <c r="V195" s="9" t="s">
        <v>589</v>
      </c>
    </row>
    <row r="196" spans="1:22" x14ac:dyDescent="0.35">
      <c r="U196" t="s">
        <v>590</v>
      </c>
      <c r="V196" s="9">
        <f>SUM(R2:R193)/SUM(K2:K193)</f>
        <v>369.42983953567773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workbookViewId="0">
      <selection activeCell="B17" sqref="B17"/>
    </sheetView>
  </sheetViews>
  <sheetFormatPr defaultRowHeight="14.5" x14ac:dyDescent="0.35"/>
  <cols>
    <col min="2" max="2" width="13.453125" bestFit="1" customWidth="1"/>
    <col min="3" max="3" width="18.26953125" bestFit="1" customWidth="1"/>
    <col min="4" max="4" width="12" bestFit="1" customWidth="1"/>
    <col min="6" max="6" width="11" customWidth="1"/>
  </cols>
  <sheetData>
    <row r="2" spans="2:13" ht="21" x14ac:dyDescent="0.55000000000000004">
      <c r="E2" s="6"/>
      <c r="F2" s="28"/>
      <c r="G2" s="28"/>
      <c r="H2" s="28"/>
      <c r="I2" s="29" t="s">
        <v>591</v>
      </c>
      <c r="J2" s="28"/>
      <c r="K2" s="28"/>
      <c r="L2" s="28"/>
      <c r="M2" s="28"/>
    </row>
    <row r="5" spans="2:13" ht="15.5" x14ac:dyDescent="0.35">
      <c r="B5" s="7" t="s">
        <v>3</v>
      </c>
      <c r="C5" s="10" t="s">
        <v>592</v>
      </c>
    </row>
    <row r="6" spans="2:13" ht="15.5" x14ac:dyDescent="0.35">
      <c r="B6" s="8" t="s">
        <v>263</v>
      </c>
      <c r="C6" s="14">
        <v>536192</v>
      </c>
    </row>
    <row r="7" spans="2:13" ht="15.5" x14ac:dyDescent="0.35">
      <c r="B7" s="8" t="s">
        <v>21</v>
      </c>
      <c r="C7" s="14">
        <v>545868</v>
      </c>
    </row>
    <row r="8" spans="2:13" ht="15.5" x14ac:dyDescent="0.35">
      <c r="B8" s="8" t="s">
        <v>593</v>
      </c>
      <c r="C8" s="14">
        <v>1082060</v>
      </c>
    </row>
    <row r="16" spans="2:13" x14ac:dyDescent="0.35">
      <c r="C16" s="30"/>
    </row>
    <row r="19" spans="2:2" x14ac:dyDescent="0.35">
      <c r="B19" t="s">
        <v>594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2"/>
  <sheetViews>
    <sheetView showGridLines="0" workbookViewId="0">
      <selection activeCell="B22" sqref="B22"/>
    </sheetView>
  </sheetViews>
  <sheetFormatPr defaultRowHeight="14.5" x14ac:dyDescent="0.35"/>
  <cols>
    <col min="1" max="1" width="8.7265625" customWidth="1"/>
    <col min="2" max="2" width="26.54296875" bestFit="1" customWidth="1"/>
    <col min="3" max="3" width="25.1796875" style="9" bestFit="1" customWidth="1"/>
  </cols>
  <sheetData>
    <row r="2" spans="2:14" ht="21" x14ac:dyDescent="0.55000000000000004">
      <c r="F2" s="34"/>
      <c r="G2" s="34"/>
      <c r="H2" s="34"/>
      <c r="I2" s="34"/>
      <c r="J2" s="26" t="s">
        <v>595</v>
      </c>
      <c r="K2" s="34"/>
      <c r="L2" s="34"/>
      <c r="M2" s="34"/>
      <c r="N2" s="34"/>
    </row>
    <row r="3" spans="2:14" x14ac:dyDescent="0.35">
      <c r="F3" s="35"/>
      <c r="G3" s="35"/>
      <c r="H3" s="35"/>
      <c r="I3" s="35"/>
      <c r="J3" s="35"/>
      <c r="K3" s="35"/>
      <c r="L3" s="35"/>
      <c r="M3" s="35"/>
      <c r="N3" s="35"/>
    </row>
    <row r="5" spans="2:14" x14ac:dyDescent="0.35">
      <c r="B5" s="20" t="s">
        <v>8</v>
      </c>
      <c r="C5" s="22" t="s">
        <v>596</v>
      </c>
    </row>
    <row r="6" spans="2:14" x14ac:dyDescent="0.35">
      <c r="B6" s="21" t="s">
        <v>147</v>
      </c>
      <c r="C6" s="22">
        <v>16608</v>
      </c>
    </row>
    <row r="7" spans="2:14" x14ac:dyDescent="0.35">
      <c r="B7" s="21" t="s">
        <v>128</v>
      </c>
      <c r="C7" s="22">
        <v>17914</v>
      </c>
    </row>
    <row r="8" spans="2:14" x14ac:dyDescent="0.35">
      <c r="B8" s="21" t="s">
        <v>161</v>
      </c>
      <c r="C8" s="22">
        <v>18080</v>
      </c>
    </row>
    <row r="9" spans="2:14" x14ac:dyDescent="0.35">
      <c r="B9" s="21" t="s">
        <v>80</v>
      </c>
      <c r="C9" s="22">
        <v>26670</v>
      </c>
    </row>
    <row r="10" spans="2:14" x14ac:dyDescent="0.35">
      <c r="B10" s="21" t="s">
        <v>143</v>
      </c>
      <c r="C10" s="22">
        <v>32650</v>
      </c>
    </row>
    <row r="11" spans="2:14" x14ac:dyDescent="0.35">
      <c r="B11" s="21" t="s">
        <v>69</v>
      </c>
      <c r="C11" s="22">
        <v>35264</v>
      </c>
    </row>
    <row r="12" spans="2:14" x14ac:dyDescent="0.35">
      <c r="B12" s="21" t="s">
        <v>66</v>
      </c>
      <c r="C12" s="22">
        <v>41552</v>
      </c>
    </row>
    <row r="13" spans="2:14" x14ac:dyDescent="0.35">
      <c r="B13" s="21" t="s">
        <v>140</v>
      </c>
      <c r="C13" s="22">
        <v>64386</v>
      </c>
    </row>
    <row r="14" spans="2:14" x14ac:dyDescent="0.35">
      <c r="B14" s="21" t="s">
        <v>521</v>
      </c>
      <c r="C14" s="22">
        <v>93600</v>
      </c>
    </row>
    <row r="15" spans="2:14" x14ac:dyDescent="0.35">
      <c r="B15" s="21" t="s">
        <v>542</v>
      </c>
      <c r="C15" s="22">
        <v>234500</v>
      </c>
    </row>
    <row r="16" spans="2:14" x14ac:dyDescent="0.35">
      <c r="B16" s="21" t="s">
        <v>593</v>
      </c>
      <c r="C16" s="22">
        <v>581224</v>
      </c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1"/>
  <sheetViews>
    <sheetView showGridLines="0" showRowColHeaders="0" zoomScale="71" zoomScaleNormal="71" workbookViewId="0">
      <selection activeCell="W11" sqref="W11"/>
    </sheetView>
  </sheetViews>
  <sheetFormatPr defaultRowHeight="14.5" x14ac:dyDescent="0.35"/>
  <cols>
    <col min="2" max="2" width="15.7265625" bestFit="1" customWidth="1"/>
    <col min="3" max="3" width="27.453125" bestFit="1" customWidth="1"/>
    <col min="4" max="4" width="11.54296875" customWidth="1"/>
    <col min="6" max="6" width="13.1796875" customWidth="1"/>
    <col min="7" max="7" width="12" customWidth="1"/>
  </cols>
  <sheetData>
    <row r="2" spans="2:17" ht="26" x14ac:dyDescent="0.55000000000000004">
      <c r="G2" s="31" t="s">
        <v>597</v>
      </c>
      <c r="H2" s="32"/>
      <c r="I2" s="32"/>
      <c r="J2" s="33"/>
      <c r="K2" s="33"/>
      <c r="L2" s="33"/>
      <c r="M2" s="33"/>
      <c r="N2" s="33"/>
      <c r="O2" s="33"/>
      <c r="P2" s="33"/>
      <c r="Q2" s="33"/>
    </row>
    <row r="4" spans="2:17" ht="15.5" x14ac:dyDescent="0.35">
      <c r="B4" s="4" t="s">
        <v>13</v>
      </c>
      <c r="C4" s="13" t="s">
        <v>596</v>
      </c>
      <c r="D4" s="2"/>
    </row>
    <row r="5" spans="2:17" ht="15.5" x14ac:dyDescent="0.35">
      <c r="B5" s="5">
        <v>2017</v>
      </c>
      <c r="C5" s="13">
        <v>502404</v>
      </c>
    </row>
    <row r="6" spans="2:17" ht="15.5" x14ac:dyDescent="0.35">
      <c r="B6" s="5">
        <v>2018</v>
      </c>
      <c r="C6" s="13">
        <v>579656</v>
      </c>
    </row>
    <row r="7" spans="2:17" ht="15.5" x14ac:dyDescent="0.35">
      <c r="B7" s="3" t="s">
        <v>593</v>
      </c>
      <c r="C7" s="12">
        <v>1082060</v>
      </c>
    </row>
    <row r="28" spans="2:3" ht="15.5" x14ac:dyDescent="0.35">
      <c r="B28" s="23" t="s">
        <v>12</v>
      </c>
      <c r="C28" s="23" t="s">
        <v>596</v>
      </c>
    </row>
    <row r="29" spans="2:3" ht="15.5" x14ac:dyDescent="0.35">
      <c r="B29" s="24" t="s">
        <v>26</v>
      </c>
      <c r="C29" s="23">
        <v>460156</v>
      </c>
    </row>
    <row r="30" spans="2:3" ht="15.5" x14ac:dyDescent="0.35">
      <c r="B30" s="24" t="s">
        <v>51</v>
      </c>
      <c r="C30" s="23">
        <v>23492</v>
      </c>
    </row>
    <row r="31" spans="2:3" ht="15.5" x14ac:dyDescent="0.35">
      <c r="B31" s="24" t="s">
        <v>81</v>
      </c>
      <c r="C31" s="23">
        <v>30432</v>
      </c>
    </row>
    <row r="32" spans="2:3" ht="15.5" x14ac:dyDescent="0.35">
      <c r="B32" s="24" t="s">
        <v>176</v>
      </c>
      <c r="C32" s="23">
        <v>916</v>
      </c>
    </row>
    <row r="33" spans="2:3" ht="15.5" x14ac:dyDescent="0.35">
      <c r="B33" s="24" t="s">
        <v>232</v>
      </c>
      <c r="C33" s="23">
        <v>7138</v>
      </c>
    </row>
    <row r="34" spans="2:3" ht="15.5" x14ac:dyDescent="0.35">
      <c r="B34" s="24" t="s">
        <v>427</v>
      </c>
      <c r="C34" s="23">
        <v>6770</v>
      </c>
    </row>
    <row r="35" spans="2:3" ht="15.5" x14ac:dyDescent="0.35">
      <c r="B35" s="24" t="s">
        <v>144</v>
      </c>
      <c r="C35" s="23">
        <v>51146</v>
      </c>
    </row>
    <row r="36" spans="2:3" ht="15.5" x14ac:dyDescent="0.35">
      <c r="B36" s="24" t="s">
        <v>484</v>
      </c>
      <c r="C36" s="23">
        <v>171873</v>
      </c>
    </row>
    <row r="37" spans="2:3" ht="15.5" x14ac:dyDescent="0.35">
      <c r="B37" s="24" t="s">
        <v>56</v>
      </c>
      <c r="C37" s="23">
        <v>60402</v>
      </c>
    </row>
    <row r="38" spans="2:3" ht="15.5" x14ac:dyDescent="0.35">
      <c r="B38" s="24" t="s">
        <v>329</v>
      </c>
      <c r="C38" s="23">
        <v>239146</v>
      </c>
    </row>
    <row r="39" spans="2:3" ht="15.5" x14ac:dyDescent="0.35">
      <c r="B39" s="24" t="s">
        <v>439</v>
      </c>
      <c r="C39" s="25">
        <v>1426</v>
      </c>
    </row>
    <row r="40" spans="2:3" ht="15.5" x14ac:dyDescent="0.35">
      <c r="B40" s="24" t="s">
        <v>91</v>
      </c>
      <c r="C40" s="23">
        <v>29163</v>
      </c>
    </row>
    <row r="41" spans="2:3" ht="15.5" x14ac:dyDescent="0.35">
      <c r="B41" s="24" t="s">
        <v>593</v>
      </c>
      <c r="C41" s="23">
        <v>1082060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G148"/>
  <sheetViews>
    <sheetView showGridLines="0" topLeftCell="E2" workbookViewId="0">
      <selection activeCell="G21" sqref="G21"/>
    </sheetView>
  </sheetViews>
  <sheetFormatPr defaultRowHeight="14.5" x14ac:dyDescent="0.35"/>
  <cols>
    <col min="2" max="2" width="27.54296875" bestFit="1" customWidth="1"/>
    <col min="3" max="3" width="25.1796875" style="9" bestFit="1" customWidth="1"/>
    <col min="4" max="4" width="14.54296875" customWidth="1"/>
    <col min="5" max="5" width="65.81640625" customWidth="1"/>
    <col min="6" max="6" width="20.453125" bestFit="1" customWidth="1"/>
    <col min="7" max="8" width="24.81640625" bestFit="1" customWidth="1"/>
    <col min="10" max="10" width="11" customWidth="1"/>
  </cols>
  <sheetData>
    <row r="3" spans="2:7" ht="21" x14ac:dyDescent="0.35">
      <c r="E3" s="38" t="s">
        <v>598</v>
      </c>
      <c r="F3" s="38"/>
    </row>
    <row r="6" spans="2:7" x14ac:dyDescent="0.35">
      <c r="B6" s="11" t="s">
        <v>599</v>
      </c>
      <c r="C6" s="15" t="s">
        <v>596</v>
      </c>
    </row>
    <row r="7" spans="2:7" x14ac:dyDescent="0.35">
      <c r="B7" s="11" t="s">
        <v>542</v>
      </c>
      <c r="C7" s="15">
        <v>234500</v>
      </c>
    </row>
    <row r="8" spans="2:7" x14ac:dyDescent="0.35">
      <c r="B8" s="11" t="s">
        <v>521</v>
      </c>
      <c r="C8" s="15">
        <v>93600</v>
      </c>
    </row>
    <row r="9" spans="2:7" x14ac:dyDescent="0.35">
      <c r="B9" s="11" t="s">
        <v>140</v>
      </c>
      <c r="C9" s="15">
        <v>64386</v>
      </c>
    </row>
    <row r="10" spans="2:7" x14ac:dyDescent="0.35">
      <c r="B10" s="11" t="s">
        <v>66</v>
      </c>
      <c r="C10" s="15">
        <v>41552</v>
      </c>
      <c r="G10" t="s">
        <v>600</v>
      </c>
    </row>
    <row r="11" spans="2:7" x14ac:dyDescent="0.35">
      <c r="B11" s="11" t="s">
        <v>69</v>
      </c>
      <c r="C11" s="15">
        <v>35264</v>
      </c>
    </row>
    <row r="12" spans="2:7" x14ac:dyDescent="0.35">
      <c r="B12" s="11" t="s">
        <v>143</v>
      </c>
      <c r="C12" s="15">
        <v>32650</v>
      </c>
    </row>
    <row r="13" spans="2:7" x14ac:dyDescent="0.35">
      <c r="B13" s="11" t="s">
        <v>80</v>
      </c>
      <c r="C13" s="15">
        <v>26670</v>
      </c>
    </row>
    <row r="14" spans="2:7" x14ac:dyDescent="0.35">
      <c r="B14" s="11" t="s">
        <v>161</v>
      </c>
      <c r="C14" s="15">
        <v>18080</v>
      </c>
    </row>
    <row r="15" spans="2:7" x14ac:dyDescent="0.35">
      <c r="B15" s="11" t="s">
        <v>128</v>
      </c>
      <c r="C15" s="15">
        <v>17914</v>
      </c>
    </row>
    <row r="16" spans="2:7" x14ac:dyDescent="0.35">
      <c r="B16" s="11" t="s">
        <v>147</v>
      </c>
      <c r="C16" s="15">
        <v>16608</v>
      </c>
    </row>
    <row r="17" spans="2:3" x14ac:dyDescent="0.35">
      <c r="B17" s="11" t="s">
        <v>204</v>
      </c>
      <c r="C17" s="15">
        <v>16338</v>
      </c>
    </row>
    <row r="18" spans="2:3" x14ac:dyDescent="0.35">
      <c r="B18" s="11" t="s">
        <v>122</v>
      </c>
      <c r="C18" s="15">
        <v>16065</v>
      </c>
    </row>
    <row r="19" spans="2:3" x14ac:dyDescent="0.35">
      <c r="B19" s="11" t="s">
        <v>264</v>
      </c>
      <c r="C19" s="15">
        <v>15250</v>
      </c>
    </row>
    <row r="20" spans="2:3" x14ac:dyDescent="0.35">
      <c r="B20" s="11" t="s">
        <v>104</v>
      </c>
      <c r="C20" s="15">
        <v>13700</v>
      </c>
    </row>
    <row r="21" spans="2:3" x14ac:dyDescent="0.35">
      <c r="B21" s="11" t="s">
        <v>477</v>
      </c>
      <c r="C21" s="15">
        <v>13260</v>
      </c>
    </row>
    <row r="22" spans="2:3" x14ac:dyDescent="0.35">
      <c r="B22" s="11" t="s">
        <v>555</v>
      </c>
      <c r="C22" s="15">
        <v>12920</v>
      </c>
    </row>
    <row r="23" spans="2:3" x14ac:dyDescent="0.35">
      <c r="B23" s="11" t="s">
        <v>164</v>
      </c>
      <c r="C23" s="15">
        <v>12684</v>
      </c>
    </row>
    <row r="24" spans="2:3" x14ac:dyDescent="0.35">
      <c r="B24" s="11" t="s">
        <v>253</v>
      </c>
      <c r="C24" s="15">
        <v>12540</v>
      </c>
    </row>
    <row r="25" spans="2:3" x14ac:dyDescent="0.35">
      <c r="B25" s="11" t="s">
        <v>40</v>
      </c>
      <c r="C25" s="15">
        <v>12540</v>
      </c>
    </row>
    <row r="26" spans="2:3" x14ac:dyDescent="0.35">
      <c r="B26" s="11" t="s">
        <v>221</v>
      </c>
      <c r="C26" s="15">
        <v>11936</v>
      </c>
    </row>
    <row r="27" spans="2:3" x14ac:dyDescent="0.35">
      <c r="B27" s="11" t="s">
        <v>90</v>
      </c>
      <c r="C27" s="15">
        <v>11775</v>
      </c>
    </row>
    <row r="28" spans="2:3" x14ac:dyDescent="0.35">
      <c r="B28" s="11" t="s">
        <v>258</v>
      </c>
      <c r="C28" s="15">
        <v>11408</v>
      </c>
    </row>
    <row r="29" spans="2:3" x14ac:dyDescent="0.35">
      <c r="B29" s="11" t="s">
        <v>62</v>
      </c>
      <c r="C29" s="15">
        <v>10720</v>
      </c>
    </row>
    <row r="30" spans="2:3" x14ac:dyDescent="0.35">
      <c r="B30" s="11" t="s">
        <v>433</v>
      </c>
      <c r="C30" s="15">
        <v>10428</v>
      </c>
    </row>
    <row r="31" spans="2:3" x14ac:dyDescent="0.35">
      <c r="B31" s="11" t="s">
        <v>94</v>
      </c>
      <c r="C31" s="15">
        <v>10296</v>
      </c>
    </row>
    <row r="32" spans="2:3" x14ac:dyDescent="0.35">
      <c r="B32" s="11" t="s">
        <v>85</v>
      </c>
      <c r="C32" s="15">
        <v>9960</v>
      </c>
    </row>
    <row r="33" spans="2:3" x14ac:dyDescent="0.35">
      <c r="B33" s="11" t="s">
        <v>50</v>
      </c>
      <c r="C33" s="15">
        <v>9160</v>
      </c>
    </row>
    <row r="34" spans="2:3" x14ac:dyDescent="0.35">
      <c r="B34" s="11" t="s">
        <v>282</v>
      </c>
      <c r="C34" s="15">
        <v>8940</v>
      </c>
    </row>
    <row r="35" spans="2:3" x14ac:dyDescent="0.35">
      <c r="B35" s="11" t="s">
        <v>332</v>
      </c>
      <c r="C35" s="15">
        <v>8822</v>
      </c>
    </row>
    <row r="36" spans="2:3" x14ac:dyDescent="0.35">
      <c r="B36" s="11" t="s">
        <v>108</v>
      </c>
      <c r="C36" s="15">
        <v>8640</v>
      </c>
    </row>
    <row r="37" spans="2:3" x14ac:dyDescent="0.35">
      <c r="B37" s="11" t="s">
        <v>398</v>
      </c>
      <c r="C37" s="15">
        <v>8554</v>
      </c>
    </row>
    <row r="38" spans="2:3" x14ac:dyDescent="0.35">
      <c r="B38" s="11" t="s">
        <v>125</v>
      </c>
      <c r="C38" s="15">
        <v>8385</v>
      </c>
    </row>
    <row r="39" spans="2:3" x14ac:dyDescent="0.35">
      <c r="B39" s="11" t="s">
        <v>224</v>
      </c>
      <c r="C39" s="15">
        <v>8240</v>
      </c>
    </row>
    <row r="40" spans="2:3" x14ac:dyDescent="0.35">
      <c r="B40" s="11" t="s">
        <v>114</v>
      </c>
      <c r="C40" s="15">
        <v>7982</v>
      </c>
    </row>
    <row r="41" spans="2:3" x14ac:dyDescent="0.35">
      <c r="B41" s="11" t="s">
        <v>267</v>
      </c>
      <c r="C41" s="15">
        <v>7940</v>
      </c>
    </row>
    <row r="42" spans="2:3" x14ac:dyDescent="0.35">
      <c r="B42" s="11" t="s">
        <v>552</v>
      </c>
      <c r="C42" s="15">
        <v>7850</v>
      </c>
    </row>
    <row r="43" spans="2:3" x14ac:dyDescent="0.35">
      <c r="B43" s="11" t="s">
        <v>448</v>
      </c>
      <c r="C43" s="15">
        <v>7740</v>
      </c>
    </row>
    <row r="44" spans="2:3" x14ac:dyDescent="0.35">
      <c r="B44" s="11" t="s">
        <v>445</v>
      </c>
      <c r="C44" s="15">
        <v>7420</v>
      </c>
    </row>
    <row r="45" spans="2:3" x14ac:dyDescent="0.35">
      <c r="B45" s="11" t="s">
        <v>98</v>
      </c>
      <c r="C45" s="15">
        <v>7305</v>
      </c>
    </row>
    <row r="46" spans="2:3" x14ac:dyDescent="0.35">
      <c r="B46" s="11" t="s">
        <v>573</v>
      </c>
      <c r="C46" s="15">
        <v>7220</v>
      </c>
    </row>
    <row r="47" spans="2:3" x14ac:dyDescent="0.35">
      <c r="B47" s="11" t="s">
        <v>362</v>
      </c>
      <c r="C47" s="15">
        <v>7080</v>
      </c>
    </row>
    <row r="48" spans="2:3" x14ac:dyDescent="0.35">
      <c r="B48" s="11" t="s">
        <v>515</v>
      </c>
      <c r="C48" s="15">
        <v>6880</v>
      </c>
    </row>
    <row r="49" spans="2:5" x14ac:dyDescent="0.35">
      <c r="B49" s="11" t="s">
        <v>34</v>
      </c>
      <c r="C49" s="15">
        <v>6501</v>
      </c>
    </row>
    <row r="50" spans="2:5" x14ac:dyDescent="0.35">
      <c r="B50" s="11" t="s">
        <v>430</v>
      </c>
      <c r="C50" s="15">
        <v>6340</v>
      </c>
    </row>
    <row r="51" spans="2:5" x14ac:dyDescent="0.35">
      <c r="B51" s="11" t="s">
        <v>241</v>
      </c>
      <c r="C51" s="15">
        <v>6240</v>
      </c>
    </row>
    <row r="52" spans="2:5" x14ac:dyDescent="0.35">
      <c r="B52" s="11" t="s">
        <v>328</v>
      </c>
      <c r="C52" s="15">
        <v>6220</v>
      </c>
      <c r="E52" s="18"/>
    </row>
    <row r="53" spans="2:5" x14ac:dyDescent="0.35">
      <c r="B53" s="11" t="s">
        <v>247</v>
      </c>
      <c r="C53" s="15">
        <v>5652</v>
      </c>
      <c r="E53" s="19"/>
    </row>
    <row r="54" spans="2:5" x14ac:dyDescent="0.35">
      <c r="B54" s="11" t="s">
        <v>487</v>
      </c>
      <c r="C54" s="15">
        <v>5380</v>
      </c>
      <c r="E54" s="19"/>
    </row>
    <row r="55" spans="2:5" x14ac:dyDescent="0.35">
      <c r="B55" s="11" t="s">
        <v>529</v>
      </c>
      <c r="C55" s="15">
        <v>5350</v>
      </c>
    </row>
    <row r="56" spans="2:5" x14ac:dyDescent="0.35">
      <c r="B56" s="11" t="s">
        <v>305</v>
      </c>
      <c r="C56" s="15">
        <v>5240</v>
      </c>
    </row>
    <row r="57" spans="2:5" x14ac:dyDescent="0.35">
      <c r="B57" s="11" t="s">
        <v>512</v>
      </c>
      <c r="C57" s="15">
        <v>4950</v>
      </c>
    </row>
    <row r="58" spans="2:5" x14ac:dyDescent="0.35">
      <c r="B58" s="11" t="s">
        <v>311</v>
      </c>
      <c r="C58" s="15">
        <v>4692</v>
      </c>
    </row>
    <row r="59" spans="2:5" x14ac:dyDescent="0.35">
      <c r="B59" s="11" t="s">
        <v>320</v>
      </c>
      <c r="C59" s="15">
        <v>4602</v>
      </c>
    </row>
    <row r="60" spans="2:5" x14ac:dyDescent="0.35">
      <c r="B60" s="11" t="s">
        <v>567</v>
      </c>
      <c r="C60" s="15">
        <v>4590</v>
      </c>
    </row>
    <row r="61" spans="2:5" x14ac:dyDescent="0.35">
      <c r="B61" s="11" t="s">
        <v>379</v>
      </c>
      <c r="C61" s="15">
        <v>4488</v>
      </c>
    </row>
    <row r="62" spans="2:5" x14ac:dyDescent="0.35">
      <c r="B62" s="11" t="s">
        <v>392</v>
      </c>
      <c r="C62" s="15">
        <v>4116</v>
      </c>
    </row>
    <row r="63" spans="2:5" x14ac:dyDescent="0.35">
      <c r="B63" s="11" t="s">
        <v>323</v>
      </c>
      <c r="C63" s="15">
        <v>4068</v>
      </c>
    </row>
    <row r="64" spans="2:5" x14ac:dyDescent="0.35">
      <c r="B64" s="11" t="s">
        <v>536</v>
      </c>
      <c r="C64" s="15">
        <v>3865</v>
      </c>
    </row>
    <row r="65" spans="2:3" x14ac:dyDescent="0.35">
      <c r="B65" s="11" t="s">
        <v>190</v>
      </c>
      <c r="C65" s="15">
        <v>3856</v>
      </c>
    </row>
    <row r="66" spans="2:3" x14ac:dyDescent="0.35">
      <c r="B66" s="11" t="s">
        <v>576</v>
      </c>
      <c r="C66" s="15">
        <v>3843</v>
      </c>
    </row>
    <row r="67" spans="2:3" x14ac:dyDescent="0.35">
      <c r="B67" s="11" t="s">
        <v>75</v>
      </c>
      <c r="C67" s="15">
        <v>3645</v>
      </c>
    </row>
    <row r="68" spans="2:3" x14ac:dyDescent="0.35">
      <c r="B68" s="11" t="s">
        <v>494</v>
      </c>
      <c r="C68" s="15">
        <v>3630</v>
      </c>
    </row>
    <row r="69" spans="2:3" x14ac:dyDescent="0.35">
      <c r="B69" s="11" t="s">
        <v>218</v>
      </c>
      <c r="C69" s="15">
        <v>3610</v>
      </c>
    </row>
    <row r="70" spans="2:3" x14ac:dyDescent="0.35">
      <c r="B70" s="11" t="s">
        <v>46</v>
      </c>
      <c r="C70" s="15">
        <v>3480</v>
      </c>
    </row>
    <row r="71" spans="2:3" x14ac:dyDescent="0.35">
      <c r="B71" s="11" t="s">
        <v>199</v>
      </c>
      <c r="C71" s="15">
        <v>3470</v>
      </c>
    </row>
    <row r="72" spans="2:3" x14ac:dyDescent="0.35">
      <c r="B72" s="11" t="s">
        <v>564</v>
      </c>
      <c r="C72" s="15">
        <v>3390</v>
      </c>
    </row>
    <row r="73" spans="2:3" x14ac:dyDescent="0.35">
      <c r="B73" s="11" t="s">
        <v>561</v>
      </c>
      <c r="C73" s="15">
        <v>3315</v>
      </c>
    </row>
    <row r="74" spans="2:3" x14ac:dyDescent="0.35">
      <c r="B74" s="11" t="s">
        <v>272</v>
      </c>
      <c r="C74" s="15">
        <v>3295</v>
      </c>
    </row>
    <row r="75" spans="2:3" x14ac:dyDescent="0.35">
      <c r="B75" s="11" t="s">
        <v>101</v>
      </c>
      <c r="C75" s="15">
        <v>3025</v>
      </c>
    </row>
    <row r="76" spans="2:3" x14ac:dyDescent="0.35">
      <c r="B76" s="11" t="s">
        <v>244</v>
      </c>
      <c r="C76" s="15">
        <v>2984</v>
      </c>
    </row>
    <row r="77" spans="2:3" x14ac:dyDescent="0.35">
      <c r="B77" s="11" t="s">
        <v>314</v>
      </c>
      <c r="C77" s="15">
        <v>2952</v>
      </c>
    </row>
    <row r="78" spans="2:3" x14ac:dyDescent="0.35">
      <c r="B78" s="11" t="s">
        <v>111</v>
      </c>
      <c r="C78" s="15">
        <v>2898</v>
      </c>
    </row>
    <row r="79" spans="2:3" x14ac:dyDescent="0.35">
      <c r="B79" s="11" t="s">
        <v>250</v>
      </c>
      <c r="C79" s="15">
        <v>2740</v>
      </c>
    </row>
    <row r="80" spans="2:3" x14ac:dyDescent="0.35">
      <c r="B80" s="11" t="s">
        <v>55</v>
      </c>
      <c r="C80" s="15">
        <v>2583</v>
      </c>
    </row>
    <row r="81" spans="2:3" x14ac:dyDescent="0.35">
      <c r="B81" s="11" t="s">
        <v>193</v>
      </c>
      <c r="C81" s="15">
        <v>2346</v>
      </c>
    </row>
    <row r="82" spans="2:3" x14ac:dyDescent="0.35">
      <c r="B82" s="11" t="s">
        <v>414</v>
      </c>
      <c r="C82" s="15">
        <v>2340</v>
      </c>
    </row>
    <row r="83" spans="2:3" x14ac:dyDescent="0.35">
      <c r="B83" s="11" t="s">
        <v>275</v>
      </c>
      <c r="C83" s="15">
        <v>2310</v>
      </c>
    </row>
    <row r="84" spans="2:3" x14ac:dyDescent="0.35">
      <c r="B84" s="11" t="s">
        <v>24</v>
      </c>
      <c r="C84" s="15">
        <v>2208</v>
      </c>
    </row>
    <row r="85" spans="2:3" x14ac:dyDescent="0.35">
      <c r="B85" s="11" t="s">
        <v>570</v>
      </c>
      <c r="C85" s="15">
        <v>2115</v>
      </c>
    </row>
    <row r="86" spans="2:3" x14ac:dyDescent="0.35">
      <c r="B86" s="11" t="s">
        <v>118</v>
      </c>
      <c r="C86" s="15">
        <v>2105</v>
      </c>
    </row>
    <row r="87" spans="2:3" x14ac:dyDescent="0.35">
      <c r="B87" s="11" t="s">
        <v>408</v>
      </c>
      <c r="C87" s="15">
        <v>2080</v>
      </c>
    </row>
    <row r="88" spans="2:3" x14ac:dyDescent="0.35">
      <c r="B88" s="11" t="s">
        <v>549</v>
      </c>
      <c r="C88" s="15">
        <v>2046</v>
      </c>
    </row>
    <row r="89" spans="2:3" x14ac:dyDescent="0.35">
      <c r="B89" s="11" t="s">
        <v>181</v>
      </c>
      <c r="C89" s="15">
        <v>2046</v>
      </c>
    </row>
    <row r="90" spans="2:3" x14ac:dyDescent="0.35">
      <c r="B90" s="11" t="s">
        <v>352</v>
      </c>
      <c r="C90" s="15">
        <v>2043</v>
      </c>
    </row>
    <row r="91" spans="2:3" x14ac:dyDescent="0.35">
      <c r="B91" s="11" t="s">
        <v>405</v>
      </c>
      <c r="C91" s="15">
        <v>2004</v>
      </c>
    </row>
    <row r="92" spans="2:3" x14ac:dyDescent="0.35">
      <c r="B92" s="11" t="s">
        <v>370</v>
      </c>
      <c r="C92" s="15">
        <v>2000</v>
      </c>
    </row>
    <row r="93" spans="2:3" x14ac:dyDescent="0.35">
      <c r="B93" s="11" t="s">
        <v>235</v>
      </c>
      <c r="C93" s="15">
        <v>1969</v>
      </c>
    </row>
    <row r="94" spans="2:3" x14ac:dyDescent="0.35">
      <c r="B94" s="11" t="s">
        <v>308</v>
      </c>
      <c r="C94" s="15">
        <v>1950</v>
      </c>
    </row>
    <row r="95" spans="2:3" x14ac:dyDescent="0.35">
      <c r="B95" s="11" t="s">
        <v>349</v>
      </c>
      <c r="C95" s="15">
        <v>1870</v>
      </c>
    </row>
    <row r="96" spans="2:3" x14ac:dyDescent="0.35">
      <c r="B96" s="11" t="s">
        <v>389</v>
      </c>
      <c r="C96" s="15">
        <v>1806</v>
      </c>
    </row>
    <row r="97" spans="2:3" x14ac:dyDescent="0.35">
      <c r="B97" s="11" t="s">
        <v>150</v>
      </c>
      <c r="C97" s="15">
        <v>1804</v>
      </c>
    </row>
    <row r="98" spans="2:3" x14ac:dyDescent="0.35">
      <c r="B98" s="11" t="s">
        <v>382</v>
      </c>
      <c r="C98" s="15">
        <v>1770</v>
      </c>
    </row>
    <row r="99" spans="2:3" x14ac:dyDescent="0.35">
      <c r="B99" s="11" t="s">
        <v>462</v>
      </c>
      <c r="C99" s="15">
        <v>1725</v>
      </c>
    </row>
    <row r="100" spans="2:3" x14ac:dyDescent="0.35">
      <c r="B100" s="11" t="s">
        <v>196</v>
      </c>
      <c r="C100" s="15">
        <v>1650</v>
      </c>
    </row>
    <row r="101" spans="2:3" x14ac:dyDescent="0.35">
      <c r="B101" s="11" t="s">
        <v>459</v>
      </c>
      <c r="C101" s="15">
        <v>1626</v>
      </c>
    </row>
    <row r="102" spans="2:3" x14ac:dyDescent="0.35">
      <c r="B102" s="11" t="s">
        <v>442</v>
      </c>
      <c r="C102" s="15">
        <v>1616</v>
      </c>
    </row>
    <row r="103" spans="2:3" x14ac:dyDescent="0.35">
      <c r="B103" s="11" t="s">
        <v>317</v>
      </c>
      <c r="C103" s="15">
        <v>1560</v>
      </c>
    </row>
    <row r="104" spans="2:3" x14ac:dyDescent="0.35">
      <c r="B104" s="11" t="s">
        <v>167</v>
      </c>
      <c r="C104" s="15">
        <v>1536</v>
      </c>
    </row>
    <row r="105" spans="2:3" x14ac:dyDescent="0.35">
      <c r="B105" s="11" t="s">
        <v>172</v>
      </c>
      <c r="C105" s="15">
        <v>1526</v>
      </c>
    </row>
    <row r="106" spans="2:3" x14ac:dyDescent="0.35">
      <c r="B106" s="11" t="s">
        <v>467</v>
      </c>
      <c r="C106" s="15">
        <v>1335</v>
      </c>
    </row>
    <row r="107" spans="2:3" x14ac:dyDescent="0.35">
      <c r="B107" s="11" t="s">
        <v>558</v>
      </c>
      <c r="C107" s="15">
        <v>1328</v>
      </c>
    </row>
    <row r="108" spans="2:3" x14ac:dyDescent="0.35">
      <c r="B108" s="11" t="s">
        <v>299</v>
      </c>
      <c r="C108" s="15">
        <v>1300</v>
      </c>
    </row>
    <row r="109" spans="2:3" x14ac:dyDescent="0.35">
      <c r="B109" s="11" t="s">
        <v>503</v>
      </c>
      <c r="C109" s="15">
        <v>1280</v>
      </c>
    </row>
    <row r="110" spans="2:3" x14ac:dyDescent="0.35">
      <c r="B110" s="11" t="s">
        <v>211</v>
      </c>
      <c r="C110" s="15">
        <v>1272</v>
      </c>
    </row>
    <row r="111" spans="2:3" x14ac:dyDescent="0.35">
      <c r="B111" s="11" t="s">
        <v>302</v>
      </c>
      <c r="C111" s="15">
        <v>1220</v>
      </c>
    </row>
    <row r="112" spans="2:3" x14ac:dyDescent="0.35">
      <c r="B112" s="11" t="s">
        <v>376</v>
      </c>
      <c r="C112" s="15">
        <v>1130</v>
      </c>
    </row>
    <row r="113" spans="2:3" x14ac:dyDescent="0.35">
      <c r="B113" s="11" t="s">
        <v>480</v>
      </c>
      <c r="C113" s="15">
        <v>1110</v>
      </c>
    </row>
    <row r="114" spans="2:3" x14ac:dyDescent="0.35">
      <c r="B114" s="11" t="s">
        <v>296</v>
      </c>
      <c r="C114" s="15">
        <v>1092</v>
      </c>
    </row>
    <row r="115" spans="2:3" x14ac:dyDescent="0.35">
      <c r="B115" s="11" t="s">
        <v>137</v>
      </c>
      <c r="C115" s="15">
        <v>1004</v>
      </c>
    </row>
    <row r="116" spans="2:3" x14ac:dyDescent="0.35">
      <c r="B116" s="11" t="s">
        <v>346</v>
      </c>
      <c r="C116" s="15">
        <v>992</v>
      </c>
    </row>
    <row r="117" spans="2:3" x14ac:dyDescent="0.35">
      <c r="B117" s="11" t="s">
        <v>187</v>
      </c>
      <c r="C117" s="15">
        <v>976</v>
      </c>
    </row>
    <row r="118" spans="2:3" x14ac:dyDescent="0.35">
      <c r="B118" s="11" t="s">
        <v>287</v>
      </c>
      <c r="C118" s="15">
        <v>954</v>
      </c>
    </row>
    <row r="119" spans="2:3" x14ac:dyDescent="0.35">
      <c r="B119" s="11" t="s">
        <v>175</v>
      </c>
      <c r="C119" s="15">
        <v>916</v>
      </c>
    </row>
    <row r="120" spans="2:3" x14ac:dyDescent="0.35">
      <c r="B120" s="11" t="s">
        <v>373</v>
      </c>
      <c r="C120" s="15">
        <v>840</v>
      </c>
    </row>
    <row r="121" spans="2:3" x14ac:dyDescent="0.35">
      <c r="B121" s="11" t="s">
        <v>184</v>
      </c>
      <c r="C121" s="15">
        <v>840</v>
      </c>
    </row>
    <row r="122" spans="2:3" x14ac:dyDescent="0.35">
      <c r="B122" s="11" t="s">
        <v>133</v>
      </c>
      <c r="C122" s="15">
        <v>840</v>
      </c>
    </row>
    <row r="123" spans="2:3" x14ac:dyDescent="0.35">
      <c r="B123" s="11" t="s">
        <v>451</v>
      </c>
      <c r="C123" s="15">
        <v>786</v>
      </c>
    </row>
    <row r="124" spans="2:3" x14ac:dyDescent="0.35">
      <c r="B124" s="11" t="s">
        <v>436</v>
      </c>
      <c r="C124" s="15">
        <v>660</v>
      </c>
    </row>
    <row r="125" spans="2:3" x14ac:dyDescent="0.35">
      <c r="B125" s="11" t="s">
        <v>155</v>
      </c>
      <c r="C125" s="15">
        <v>570</v>
      </c>
    </row>
    <row r="126" spans="2:3" x14ac:dyDescent="0.35">
      <c r="B126" s="11" t="s">
        <v>238</v>
      </c>
      <c r="C126" s="15">
        <v>568</v>
      </c>
    </row>
    <row r="127" spans="2:3" x14ac:dyDescent="0.35">
      <c r="B127" s="11" t="s">
        <v>357</v>
      </c>
      <c r="C127" s="15">
        <v>564</v>
      </c>
    </row>
    <row r="128" spans="2:3" x14ac:dyDescent="0.35">
      <c r="B128" s="11" t="s">
        <v>290</v>
      </c>
      <c r="C128" s="15">
        <v>484</v>
      </c>
    </row>
    <row r="129" spans="2:3" x14ac:dyDescent="0.35">
      <c r="B129" s="11" t="s">
        <v>411</v>
      </c>
      <c r="C129" s="15">
        <v>420</v>
      </c>
    </row>
    <row r="130" spans="2:3" x14ac:dyDescent="0.35">
      <c r="B130" s="11" t="s">
        <v>472</v>
      </c>
      <c r="C130" s="15">
        <v>402</v>
      </c>
    </row>
    <row r="131" spans="2:3" x14ac:dyDescent="0.35">
      <c r="B131" s="11" t="s">
        <v>454</v>
      </c>
      <c r="C131" s="15">
        <v>402</v>
      </c>
    </row>
    <row r="132" spans="2:3" x14ac:dyDescent="0.35">
      <c r="B132" s="11" t="s">
        <v>395</v>
      </c>
      <c r="C132" s="15">
        <v>350</v>
      </c>
    </row>
    <row r="133" spans="2:3" x14ac:dyDescent="0.35">
      <c r="B133" s="11" t="s">
        <v>367</v>
      </c>
      <c r="C133" s="15">
        <v>340</v>
      </c>
    </row>
    <row r="134" spans="2:3" x14ac:dyDescent="0.35">
      <c r="B134" s="11" t="s">
        <v>419</v>
      </c>
      <c r="C134" s="15">
        <v>240</v>
      </c>
    </row>
    <row r="135" spans="2:3" x14ac:dyDescent="0.35">
      <c r="B135" s="11" t="s">
        <v>158</v>
      </c>
      <c r="C135" s="15">
        <v>208</v>
      </c>
    </row>
    <row r="136" spans="2:3" x14ac:dyDescent="0.35">
      <c r="B136" s="11" t="s">
        <v>229</v>
      </c>
      <c r="C136" s="15">
        <v>182</v>
      </c>
    </row>
    <row r="137" spans="2:3" x14ac:dyDescent="0.35">
      <c r="B137" s="11" t="s">
        <v>337</v>
      </c>
      <c r="C137" s="15">
        <v>173</v>
      </c>
    </row>
    <row r="138" spans="2:3" x14ac:dyDescent="0.35">
      <c r="B138" s="11" t="s">
        <v>293</v>
      </c>
      <c r="C138" s="15">
        <v>150</v>
      </c>
    </row>
    <row r="139" spans="2:3" x14ac:dyDescent="0.35">
      <c r="B139" s="11" t="s">
        <v>422</v>
      </c>
      <c r="C139" s="15">
        <v>146</v>
      </c>
    </row>
    <row r="140" spans="2:3" x14ac:dyDescent="0.35">
      <c r="B140" s="11" t="s">
        <v>539</v>
      </c>
      <c r="C140" s="15">
        <v>44</v>
      </c>
    </row>
    <row r="141" spans="2:3" x14ac:dyDescent="0.35">
      <c r="B141" s="11" t="s">
        <v>518</v>
      </c>
      <c r="C141" s="15">
        <v>-1870</v>
      </c>
    </row>
    <row r="142" spans="2:3" x14ac:dyDescent="0.35">
      <c r="B142" s="11" t="s">
        <v>581</v>
      </c>
      <c r="C142" s="15">
        <v>-35451</v>
      </c>
    </row>
    <row r="143" spans="2:3" x14ac:dyDescent="0.35">
      <c r="B143" s="11" t="s">
        <v>593</v>
      </c>
      <c r="C143" s="15">
        <v>1082060</v>
      </c>
    </row>
    <row r="145" spans="4:6" ht="15" x14ac:dyDescent="0.35">
      <c r="D145" s="16" t="s">
        <v>601</v>
      </c>
      <c r="E145" s="16" t="s">
        <v>602</v>
      </c>
      <c r="F145" s="16" t="s">
        <v>603</v>
      </c>
    </row>
    <row r="146" spans="4:6" ht="15" x14ac:dyDescent="0.35">
      <c r="D146" s="16" t="s">
        <v>604</v>
      </c>
      <c r="E146" s="16" t="str">
        <f>INDEX(B7:B142,MATCH(MAX(C7:C142),C7:C142,0))</f>
        <v>Ribabyclor</v>
      </c>
      <c r="F146" s="16" t="str">
        <f>INDEX(B7:B142, MATCH(MIN(C7:C142), C7:C142, 0))</f>
        <v>Immurenol Temarate</v>
      </c>
    </row>
    <row r="147" spans="4:6" ht="15" x14ac:dyDescent="0.35">
      <c r="D147" s="16" t="s">
        <v>605</v>
      </c>
      <c r="E147" s="17">
        <f>MAX(C7:C142)</f>
        <v>234500</v>
      </c>
      <c r="F147" s="17">
        <f>MIN(C7:C142)</f>
        <v>-35451</v>
      </c>
    </row>
    <row r="148" spans="4:6" x14ac:dyDescent="0.35">
      <c r="F148" s="9"/>
    </row>
  </sheetData>
  <mergeCells count="1">
    <mergeCell ref="E3:F3"/>
  </mergeCells>
  <phoneticPr fontId="8" type="noConversion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1"/>
  <sheetViews>
    <sheetView showGridLines="0" topLeftCell="C1" workbookViewId="0">
      <selection activeCell="D15" sqref="D15"/>
    </sheetView>
  </sheetViews>
  <sheetFormatPr defaultRowHeight="14.5" x14ac:dyDescent="0.35"/>
  <cols>
    <col min="2" max="2" width="16.1796875" bestFit="1" customWidth="1"/>
    <col min="4" max="4" width="132.1796875" customWidth="1"/>
  </cols>
  <sheetData>
    <row r="3" spans="4:4" ht="21" x14ac:dyDescent="0.35">
      <c r="D3" s="37" t="s">
        <v>606</v>
      </c>
    </row>
    <row r="21" spans="2:4" x14ac:dyDescent="0.35">
      <c r="B21" t="s">
        <v>607</v>
      </c>
    </row>
    <row r="22" spans="2:4" x14ac:dyDescent="0.35">
      <c r="B22">
        <v>1082060</v>
      </c>
    </row>
    <row r="30" spans="2:4" x14ac:dyDescent="0.35">
      <c r="D30" s="27"/>
    </row>
    <row r="31" spans="2:4" x14ac:dyDescent="0.35">
      <c r="D31" s="27"/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showRowColHeaders="0" tabSelected="1" zoomScaleNormal="100" workbookViewId="0">
      <selection activeCell="A6" sqref="A6"/>
    </sheetView>
  </sheetViews>
  <sheetFormatPr defaultColWidth="9.1796875" defaultRowHeight="14.5" x14ac:dyDescent="0.35"/>
  <cols>
    <col min="1" max="16384" width="9.1796875" style="36"/>
  </cols>
  <sheetData/>
  <pageMargins left="0.7" right="0.7" top="0.75" bottom="0.75" header="0.3" footer="0.3"/>
  <pageSetup scale="6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2C513B8-8960-485E-964A-8467297A6DD9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0D316330-02B1-4A7E-ACFC-5F8CA6592BF7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9D7B4835-951C-4A4B-BB16-7C4D2DF2280F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08A9B0D7-60DB-4479-AE91-1BAEFACC2A47}">
  <ds:schemaRefs>
    <ds:schemaRef ds:uri="http://gemini/pivotcustomization/5068286e-9ad8-4eac-b5f1-d7936f0dec03"/>
  </ds:schemaRefs>
</ds:datastoreItem>
</file>

<file path=customXml/itemProps5.xml><?xml version="1.0" encoding="utf-8"?>
<ds:datastoreItem xmlns:ds="http://schemas.openxmlformats.org/officeDocument/2006/customXml" ds:itemID="{108FADB8-C204-4402-9ED1-BB4D89994478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BB3B2640-13A3-4866-9FBB-045FE395FD6E}">
  <ds:schemaRefs>
    <ds:schemaRef ds:uri="http://gemini/pivotcustomization/38eb43e7-0668-46c5-89eb-267ff42afda4"/>
  </ds:schemaRefs>
</ds:datastoreItem>
</file>

<file path=customXml/itemProps7.xml><?xml version="1.0" encoding="utf-8"?>
<ds:datastoreItem xmlns:ds="http://schemas.openxmlformats.org/officeDocument/2006/customXml" ds:itemID="{10ED7DEF-3A9B-42DC-B62C-E684A383AD44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928F5B5F-42B0-4B39-9F22-81E7E73788DB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8FCC7480-E93D-45A9-A25D-A1A3DC0C84C0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5B9C80E6-1428-4F60-9CE3-06EED8534319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FCEFA0CE-8B6E-4D32-9139-1D464D1B6D93}">
  <ds:schemaRefs>
    <ds:schemaRef ds:uri="http://gemini/pivotcustomization/9cc9c0ae-68ba-43da-80e9-96a29066a1ca"/>
  </ds:schemaRefs>
</ds:datastoreItem>
</file>

<file path=customXml/itemProps12.xml><?xml version="1.0" encoding="utf-8"?>
<ds:datastoreItem xmlns:ds="http://schemas.openxmlformats.org/officeDocument/2006/customXml" ds:itemID="{3CDD206D-B015-4646-B1F6-0E764D1BE53A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7B7E4215-6E5E-44E6-8FA6-666A6EACF866}">
  <ds:schemaRefs>
    <ds:schemaRef ds:uri="http://gemini/pivotcustomization/9b687886-ed3c-4ca3-9f8b-8cc64742edb9"/>
  </ds:schemaRefs>
</ds:datastoreItem>
</file>

<file path=customXml/itemProps14.xml><?xml version="1.0" encoding="utf-8"?>
<ds:datastoreItem xmlns:ds="http://schemas.openxmlformats.org/officeDocument/2006/customXml" ds:itemID="{B01119C8-A505-40C0-9C05-05432FC7E1C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5723834F-92C4-45A5-9DA4-CB375374F917}">
  <ds:schemaRefs>
    <ds:schemaRef ds:uri="http://gemini/pivotcustomization/df1cf884-667b-41f4-93ce-f1d217e6840c"/>
  </ds:schemaRefs>
</ds:datastoreItem>
</file>

<file path=customXml/itemProps16.xml><?xml version="1.0" encoding="utf-8"?>
<ds:datastoreItem xmlns:ds="http://schemas.openxmlformats.org/officeDocument/2006/customXml" ds:itemID="{729C21A9-FE90-4A26-A89E-42A93918FCDA}">
  <ds:schemaRefs>
    <ds:schemaRef ds:uri="http://gemini/pivotcustomization/a40e72e5-41b1-467e-a1be-c22cf5036d33"/>
  </ds:schemaRefs>
</ds:datastoreItem>
</file>

<file path=customXml/itemProps17.xml><?xml version="1.0" encoding="utf-8"?>
<ds:datastoreItem xmlns:ds="http://schemas.openxmlformats.org/officeDocument/2006/customXml" ds:itemID="{4DE32FD2-EE39-41DC-98BB-AA41870C9027}">
  <ds:schemaRefs>
    <ds:schemaRef ds:uri="http://gemini/pivotcustomization/TableXML_Sheet1"/>
  </ds:schemaRefs>
</ds:datastoreItem>
</file>

<file path=customXml/itemProps18.xml><?xml version="1.0" encoding="utf-8"?>
<ds:datastoreItem xmlns:ds="http://schemas.openxmlformats.org/officeDocument/2006/customXml" ds:itemID="{7F73833B-2B25-4C0D-BFC5-5A6B521BBF06}">
  <ds:schemaRefs>
    <ds:schemaRef ds:uri="http://gemini/pivotcustomization/ErrorCache"/>
  </ds:schemaRefs>
</ds:datastoreItem>
</file>

<file path=customXml/itemProps19.xml><?xml version="1.0" encoding="utf-8"?>
<ds:datastoreItem xmlns:ds="http://schemas.openxmlformats.org/officeDocument/2006/customXml" ds:itemID="{C6F11361-4A2A-4221-BB63-EA092EACFB88}">
  <ds:schemaRefs>
    <ds:schemaRef ds:uri="http://gemini/pivotcustomization/3f6aabea-c947-4f67-aa1a-f483d330e127"/>
  </ds:schemaRefs>
</ds:datastoreItem>
</file>

<file path=customXml/itemProps20.xml><?xml version="1.0" encoding="utf-8"?>
<ds:datastoreItem xmlns:ds="http://schemas.openxmlformats.org/officeDocument/2006/customXml" ds:itemID="{0220C1B2-4EDA-4C84-BB49-D5A4A3F98B23}">
  <ds:schemaRefs>
    <ds:schemaRef ds:uri="http://gemini/pivotcustomization/TableWidget"/>
  </ds:schemaRefs>
</ds:datastoreItem>
</file>

<file path=customXml/itemProps21.xml><?xml version="1.0" encoding="utf-8"?>
<ds:datastoreItem xmlns:ds="http://schemas.openxmlformats.org/officeDocument/2006/customXml" ds:itemID="{1699E571-815B-4631-8D0D-182FA2B56833}">
  <ds:schemaRefs>
    <ds:schemaRef ds:uri="http://gemini/pivotcustomization/LinkedTableUpdateMode"/>
  </ds:schemaRefs>
</ds:datastoreItem>
</file>

<file path=customXml/itemProps22.xml><?xml version="1.0" encoding="utf-8"?>
<ds:datastoreItem xmlns:ds="http://schemas.openxmlformats.org/officeDocument/2006/customXml" ds:itemID="{B711C6B2-0DE5-46A2-AA5F-93E98026469D}">
  <ds:schemaRefs>
    <ds:schemaRef ds:uri="http://gemini/pivotcustomization/SandboxNonEmpty"/>
  </ds:schemaRefs>
</ds:datastoreItem>
</file>

<file path=customXml/itemProps23.xml><?xml version="1.0" encoding="utf-8"?>
<ds:datastoreItem xmlns:ds="http://schemas.openxmlformats.org/officeDocument/2006/customXml" ds:itemID="{35FAF055-1E04-4B10-8146-190697E0C077}">
  <ds:schemaRefs>
    <ds:schemaRef ds:uri="http://gemini/pivotcustomization/ClientWindowXML"/>
  </ds:schemaRefs>
</ds:datastoreItem>
</file>

<file path=customXml/itemProps24.xml><?xml version="1.0" encoding="utf-8"?>
<ds:datastoreItem xmlns:ds="http://schemas.openxmlformats.org/officeDocument/2006/customXml" ds:itemID="{653DC55F-556B-4D63-B2AC-4C9D31441CA9}">
  <ds:schemaRefs>
    <ds:schemaRef ds:uri="http://gemini/pivotcustomization/d0961127-ad12-4678-8644-f0135d6444f8"/>
  </ds:schemaRefs>
</ds:datastoreItem>
</file>

<file path=customXml/itemProps25.xml><?xml version="1.0" encoding="utf-8"?>
<ds:datastoreItem xmlns:ds="http://schemas.openxmlformats.org/officeDocument/2006/customXml" ds:itemID="{2444B124-8586-4B53-8088-2DFF8804974D}">
  <ds:schemaRefs>
    <ds:schemaRef ds:uri="http://gemini/pivotcustomization/4f1d5c12-57ee-4f9a-bc96-28fc56e4c170"/>
  </ds:schemaRefs>
</ds:datastoreItem>
</file>

<file path=customXml/itemProps26.xml><?xml version="1.0" encoding="utf-8"?>
<ds:datastoreItem xmlns:ds="http://schemas.openxmlformats.org/officeDocument/2006/customXml" ds:itemID="{60015B2E-0439-4711-82F3-F3DA4D0C276C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Country Performance</vt:lpstr>
      <vt:lpstr>Product Sales</vt:lpstr>
      <vt:lpstr>Sales Trend</vt:lpstr>
      <vt:lpstr>Top &amp; Bottom Poducts</vt:lpstr>
      <vt:lpstr>Sales Summary</vt:lpstr>
      <vt:lpstr>Dashboard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Hello</cp:lastModifiedBy>
  <cp:revision/>
  <dcterms:created xsi:type="dcterms:W3CDTF">2026-03-05T05:22:40Z</dcterms:created>
  <dcterms:modified xsi:type="dcterms:W3CDTF">2026-04-25T13:04:54Z</dcterms:modified>
</cp:coreProperties>
</file>